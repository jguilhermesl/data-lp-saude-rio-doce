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fbd37a9eaef58b0/Documentos/"/>
    </mc:Choice>
  </mc:AlternateContent>
  <xr:revisionPtr revIDLastSave="6360" documentId="13_ncr:1_{434F9305-1C19-44FE-A262-733AFC1BD595}" xr6:coauthVersionLast="47" xr6:coauthVersionMax="47" xr10:uidLastSave="{8CB98E85-8222-4E63-B3EB-8C971DCD5FF8}"/>
  <bookViews>
    <workbookView xWindow="-108" yWindow="-108" windowWidth="23256" windowHeight="12456" activeTab="1" xr2:uid="{88BCAF02-FEEE-4415-B630-33CB246AF0C1}"/>
  </bookViews>
  <sheets>
    <sheet name="Gerencial" sheetId="10" r:id="rId1"/>
    <sheet name="BASE DE DADOS" sheetId="6" r:id="rId2"/>
    <sheet name="INVESTIMENTO INICIAL" sheetId="11" r:id="rId3"/>
    <sheet name="EMPRESTIMOS" sheetId="3" r:id="rId4"/>
    <sheet name="Planilha1" sheetId="12" r:id="rId5"/>
  </sheets>
  <definedNames>
    <definedName name="SegmentaçãodeDados_Mês">#N/A</definedName>
  </definedNames>
  <calcPr calcId="191029"/>
  <pivotCaches>
    <pivotCache cacheId="60" r:id="rId6"/>
  </pivotCaches>
  <extLst>
    <ext xmlns:x14="http://schemas.microsoft.com/office/spreadsheetml/2009/9/main" uri="{BBE1A952-AA13-448e-AADC-164F8A28A991}">
      <x14:slicerCaches>
        <x14:slicerCache r:id="rId7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" i="12" l="1"/>
  <c r="F5" i="12"/>
  <c r="F6" i="12"/>
  <c r="F7" i="12"/>
  <c r="F8" i="12"/>
  <c r="F9" i="12"/>
  <c r="F10" i="12"/>
  <c r="F3" i="12"/>
  <c r="F2" i="12"/>
  <c r="F13" i="12" s="1"/>
  <c r="D46" i="11"/>
  <c r="D43" i="11" l="1"/>
  <c r="D6" i="6"/>
  <c r="D4" i="6"/>
  <c r="D5" i="6"/>
  <c r="D7" i="6"/>
  <c r="D8" i="6"/>
  <c r="D9" i="6"/>
  <c r="D10" i="6"/>
  <c r="D11" i="6"/>
  <c r="D12" i="6"/>
  <c r="D13" i="6"/>
  <c r="C70" i="3"/>
  <c r="F6" i="3" l="1"/>
</calcChain>
</file>

<file path=xl/sharedStrings.xml><?xml version="1.0" encoding="utf-8"?>
<sst xmlns="http://schemas.openxmlformats.org/spreadsheetml/2006/main" count="5233" uniqueCount="530">
  <si>
    <t>CAIO</t>
  </si>
  <si>
    <t>CONSULTORIA</t>
  </si>
  <si>
    <t>EMPRESTIMO</t>
  </si>
  <si>
    <t>VALOR DA PARCELA</t>
  </si>
  <si>
    <t>CEARA</t>
  </si>
  <si>
    <t>VALOR</t>
  </si>
  <si>
    <t>DE ONDE FOI</t>
  </si>
  <si>
    <t>CARRO</t>
  </si>
  <si>
    <t>PRONAMPI</t>
  </si>
  <si>
    <t>DESPESAS</t>
  </si>
  <si>
    <t>NUMERO DE PARCELAS</t>
  </si>
  <si>
    <t>PARCELAS PAGAS</t>
  </si>
  <si>
    <t>PRONAMIP</t>
  </si>
  <si>
    <t>VERBA</t>
  </si>
  <si>
    <t>O QUE FOI</t>
  </si>
  <si>
    <t>CUSTOS</t>
  </si>
  <si>
    <t>FARDAMENTO</t>
  </si>
  <si>
    <t>CAMERAS</t>
  </si>
  <si>
    <t>ALUGUEL DO CEARA</t>
  </si>
  <si>
    <t>GRAVACAO</t>
  </si>
  <si>
    <t>BOLO</t>
  </si>
  <si>
    <t>PLACA PIX</t>
  </si>
  <si>
    <t>CADEIRAS</t>
  </si>
  <si>
    <t>OBRA</t>
  </si>
  <si>
    <t>TECLADO/MOUSSE</t>
  </si>
  <si>
    <t>PISCICOLOGA</t>
  </si>
  <si>
    <t>SEGURANCA</t>
  </si>
  <si>
    <t>ICADO</t>
  </si>
  <si>
    <t>ITAMARAC</t>
  </si>
  <si>
    <t>ESCADAS MACA</t>
  </si>
  <si>
    <t>INSTALACAO CAMERA</t>
  </si>
  <si>
    <t>PAPEL</t>
  </si>
  <si>
    <t>SITE</t>
  </si>
  <si>
    <t>TRAFEGO</t>
  </si>
  <si>
    <t>FITA</t>
  </si>
  <si>
    <t>MEDICAL</t>
  </si>
  <si>
    <t xml:space="preserve">GELA AGUA </t>
  </si>
  <si>
    <t>SALGADO</t>
  </si>
  <si>
    <t>QUINTADARIA</t>
  </si>
  <si>
    <t>BALOES</t>
  </si>
  <si>
    <t>IDEAL</t>
  </si>
  <si>
    <t>ALDENIR</t>
  </si>
  <si>
    <t>ATACADAO</t>
  </si>
  <si>
    <t>MEDICOS</t>
  </si>
  <si>
    <t>VIVA</t>
  </si>
  <si>
    <t>LOUCUTOR</t>
  </si>
  <si>
    <t>GRADE</t>
  </si>
  <si>
    <t>ENERGIA CEARA</t>
  </si>
  <si>
    <t>BOMBINA</t>
  </si>
  <si>
    <t>TOXICOLOGICO</t>
  </si>
  <si>
    <t>LABO VIDA</t>
  </si>
  <si>
    <t>GRAFICA</t>
  </si>
  <si>
    <t>VERBA TRAFEGO</t>
  </si>
  <si>
    <t>ACM</t>
  </si>
  <si>
    <t>TORNEIRA DML</t>
  </si>
  <si>
    <t>ARMAZEM</t>
  </si>
  <si>
    <t>LUCIANO</t>
  </si>
  <si>
    <t>BIA</t>
  </si>
  <si>
    <t>PANFLETAGEM</t>
  </si>
  <si>
    <t>CADEADO</t>
  </si>
  <si>
    <t>AGUA</t>
  </si>
  <si>
    <t>SISTEMA</t>
  </si>
  <si>
    <t>PAGAMENTOS</t>
  </si>
  <si>
    <t>DATA</t>
  </si>
  <si>
    <t>FATURAMENTO</t>
  </si>
  <si>
    <t>Dr Raissa</t>
  </si>
  <si>
    <t>Aelson</t>
  </si>
  <si>
    <t>VT CRIS COMPLEMENTAR</t>
  </si>
  <si>
    <t>LABOVIDA</t>
  </si>
  <si>
    <t>DR Andre</t>
  </si>
  <si>
    <t>MOVEL</t>
  </si>
  <si>
    <t>AGRADO P/MEDICA</t>
  </si>
  <si>
    <t>MAMOGRAFIA</t>
  </si>
  <si>
    <t>DR RAYANNE</t>
  </si>
  <si>
    <t>DR MICHELLE</t>
  </si>
  <si>
    <t>DR ROSELLI</t>
  </si>
  <si>
    <t>CAFÉ</t>
  </si>
  <si>
    <t>DR MARIANA</t>
  </si>
  <si>
    <t>MEDICA</t>
  </si>
  <si>
    <t>DR MARLLA</t>
  </si>
  <si>
    <t>PREV IMAGEM</t>
  </si>
  <si>
    <t>CRIS VR</t>
  </si>
  <si>
    <t>CRIS VT</t>
  </si>
  <si>
    <t>GABI VT</t>
  </si>
  <si>
    <t>GABI VR</t>
  </si>
  <si>
    <t>BRILHO VT</t>
  </si>
  <si>
    <t>BRILHO VR</t>
  </si>
  <si>
    <t>Rótulos de Linha</t>
  </si>
  <si>
    <t>Total Geral</t>
  </si>
  <si>
    <t>Categoria</t>
  </si>
  <si>
    <t>Médico</t>
  </si>
  <si>
    <t>Funcionário</t>
  </si>
  <si>
    <t>Outros</t>
  </si>
  <si>
    <t>Suprimentos</t>
  </si>
  <si>
    <t>Laboratorio</t>
  </si>
  <si>
    <t>Terceiros</t>
  </si>
  <si>
    <t>insumos</t>
  </si>
  <si>
    <t>Marketing</t>
  </si>
  <si>
    <t>Soma de VALOR</t>
  </si>
  <si>
    <t>Planilha Gerencial LP SAUDE RIO DOCE</t>
  </si>
  <si>
    <t>Mês</t>
  </si>
  <si>
    <t>Março</t>
  </si>
  <si>
    <t>Dias úteis</t>
  </si>
  <si>
    <t>FAT/dia</t>
  </si>
  <si>
    <t>Abril</t>
  </si>
  <si>
    <t>Categoria Gastos</t>
  </si>
  <si>
    <t>Valor R$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</si>
  <si>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</si>
  <si>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</si>
  <si>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</si>
  <si>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</si>
  <si>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</si>
  <si>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</si>
  <si>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</si>
  <si>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</si>
  <si>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Troco</t>
  </si>
  <si>
    <t>DR RAFAEL</t>
  </si>
  <si>
    <t>DR CRISTIANE</t>
  </si>
  <si>
    <t>DEVOLUÇÃO</t>
  </si>
  <si>
    <t>VALES GABI</t>
  </si>
  <si>
    <t>VALES BRILHO</t>
  </si>
  <si>
    <t>VALES CRIS</t>
  </si>
  <si>
    <t>NEGA MALUCA</t>
  </si>
  <si>
    <t>TOP DIAGNOSTICO</t>
  </si>
  <si>
    <t>SALARIO CRIS</t>
  </si>
  <si>
    <t>SALARIO GABI</t>
  </si>
  <si>
    <t>SALARIO BRILHO</t>
  </si>
  <si>
    <t>IMPRESSAO</t>
  </si>
  <si>
    <t>TAXA BOMBEIRO</t>
  </si>
  <si>
    <t>SALARIO PATRICIA</t>
  </si>
  <si>
    <t>SALARIO BIA</t>
  </si>
  <si>
    <t>GELO</t>
  </si>
  <si>
    <t>DR CAMILLA</t>
  </si>
  <si>
    <t>BALANÇA</t>
  </si>
  <si>
    <t>Carimbo</t>
  </si>
  <si>
    <t>Ácidos</t>
  </si>
  <si>
    <t>Rio Doce Ordinario</t>
  </si>
  <si>
    <t>Rodrigo Tavares</t>
  </si>
  <si>
    <t>Dr Andre</t>
  </si>
  <si>
    <t>GILETE</t>
  </si>
  <si>
    <t>VR RAQUEL</t>
  </si>
  <si>
    <t>DEMISSAO GABI</t>
  </si>
  <si>
    <t>FGTS GABI</t>
  </si>
  <si>
    <t>TROCO</t>
  </si>
  <si>
    <t>FGTS BRILHO</t>
  </si>
  <si>
    <t>DR LEDA</t>
  </si>
  <si>
    <t>MANUNTECAO</t>
  </si>
  <si>
    <t xml:space="preserve">DR MARIANA </t>
  </si>
  <si>
    <t>MATERIAL OTORRINO</t>
  </si>
  <si>
    <t>ESTORNO</t>
  </si>
  <si>
    <t>DR FRANCISCO</t>
  </si>
  <si>
    <t>AR CONDICIONADO</t>
  </si>
  <si>
    <t>ALUGUEL</t>
  </si>
  <si>
    <t>MAQUINA USG</t>
  </si>
  <si>
    <t>CUSTO</t>
  </si>
  <si>
    <t>ÁGUA</t>
  </si>
  <si>
    <t>ARQUITETA</t>
  </si>
  <si>
    <t>BOMBINA IMPRESSORA</t>
  </si>
  <si>
    <t>CAUSCAO</t>
  </si>
  <si>
    <t>CNPJ CLINICA</t>
  </si>
  <si>
    <t>CONSORCIO</t>
  </si>
  <si>
    <t>CONTADOR</t>
  </si>
  <si>
    <t>ENERGIA</t>
  </si>
  <si>
    <t>ESCADAS MACAS</t>
  </si>
  <si>
    <t>EXTINTOR</t>
  </si>
  <si>
    <t>FAIXADA</t>
  </si>
  <si>
    <t>GELA AGUA</t>
  </si>
  <si>
    <t>IMPOSTO PREFEITURA</t>
  </si>
  <si>
    <t>INAGURAÇÃO</t>
  </si>
  <si>
    <t>INSUMOS</t>
  </si>
  <si>
    <t>INTERNET</t>
  </si>
  <si>
    <t>MAQUINAS</t>
  </si>
  <si>
    <t>MACAS</t>
  </si>
  <si>
    <t>MOVEIS</t>
  </si>
  <si>
    <t>NOOTBOK</t>
  </si>
  <si>
    <t>VALES FUNCIONARIOS</t>
  </si>
  <si>
    <t>TAXA DA FRANQUIA</t>
  </si>
  <si>
    <t>CAPITAL DE GIRO MAR/ABR</t>
  </si>
  <si>
    <t>MATERIAL USG</t>
  </si>
  <si>
    <t>DR RAYSSA</t>
  </si>
  <si>
    <t>DR CARLOS</t>
  </si>
  <si>
    <t>DR DANIELLA</t>
  </si>
  <si>
    <t>RECISAO BRILHO</t>
  </si>
  <si>
    <t xml:space="preserve">VIGILANTE </t>
  </si>
  <si>
    <t>MATERIAL</t>
  </si>
  <si>
    <t>LP PAULISTA</t>
  </si>
  <si>
    <t>RAQUEL</t>
  </si>
  <si>
    <t>MATERIAL LIMPEZA</t>
  </si>
  <si>
    <t>TOTAL</t>
  </si>
  <si>
    <t>MATERIAL CARDIO</t>
  </si>
  <si>
    <t xml:space="preserve">INTERNET </t>
  </si>
  <si>
    <t>PAPELARIA</t>
  </si>
  <si>
    <t>FRETE PAPELARIA</t>
  </si>
  <si>
    <t>ARTE</t>
  </si>
  <si>
    <t>VICTORIA</t>
  </si>
  <si>
    <t>ASO RAQUEL</t>
  </si>
  <si>
    <t>FGTS CRIS</t>
  </si>
  <si>
    <t>RECISAO CRIS</t>
  </si>
  <si>
    <t>TEC COLETA</t>
  </si>
  <si>
    <t>CONSORCIO BRADESCO</t>
  </si>
  <si>
    <t>DR SUYENE</t>
  </si>
  <si>
    <t>MERCADO</t>
  </si>
  <si>
    <t>TAPETE</t>
  </si>
  <si>
    <t>DR EDSON</t>
  </si>
  <si>
    <t>DIA DAS MAES</t>
  </si>
  <si>
    <t>FAXINA</t>
  </si>
  <si>
    <t>DR LYVIA</t>
  </si>
  <si>
    <t>SALARIO RAQUEL</t>
  </si>
  <si>
    <t>VT RAQUEL</t>
  </si>
  <si>
    <t>DR FABIO</t>
  </si>
  <si>
    <t>Estorno</t>
  </si>
  <si>
    <t>Royalties</t>
  </si>
  <si>
    <t>Aluguel</t>
  </si>
  <si>
    <t>CADEIRA COLETA</t>
  </si>
  <si>
    <t>MÁQUINA USG</t>
  </si>
  <si>
    <t>DR ALINE</t>
  </si>
  <si>
    <t>DR LARA</t>
  </si>
  <si>
    <t>TOP IMAGEM</t>
  </si>
  <si>
    <t>IMPOSTOS</t>
  </si>
  <si>
    <t>IMPOSTO</t>
  </si>
  <si>
    <t>DR TACIANA</t>
  </si>
  <si>
    <t>DR LARISSA</t>
  </si>
  <si>
    <t>MAIO</t>
  </si>
  <si>
    <t>VERISURE</t>
  </si>
  <si>
    <t>RECEITUARIO</t>
  </si>
  <si>
    <t>FAST IA</t>
  </si>
  <si>
    <t>OLINDA ORDINARIO</t>
  </si>
  <si>
    <t>DR NATHALIA</t>
  </si>
  <si>
    <t>LAB MORAES</t>
  </si>
  <si>
    <t>GASTROCENTER</t>
  </si>
  <si>
    <t>VIGILANTE</t>
  </si>
  <si>
    <t>SEGURO LOJA</t>
  </si>
  <si>
    <t>SEGURO</t>
  </si>
  <si>
    <t>ESPECULOS</t>
  </si>
  <si>
    <t>DR ANDRE</t>
  </si>
  <si>
    <t>DR THIAGO</t>
  </si>
  <si>
    <t>LUVA</t>
  </si>
  <si>
    <t xml:space="preserve">PANFLETO </t>
  </si>
  <si>
    <t>SÃO JOAO</t>
  </si>
  <si>
    <t>DR FERNANDO</t>
  </si>
  <si>
    <t>DR TIAGO</t>
  </si>
  <si>
    <t xml:space="preserve">DETETIZACAO </t>
  </si>
  <si>
    <t>JUNHO</t>
  </si>
  <si>
    <t>TOP</t>
  </si>
  <si>
    <t>CARDIOCENTRO</t>
  </si>
  <si>
    <t>SOUD</t>
  </si>
  <si>
    <t>PILHA MAPA</t>
  </si>
  <si>
    <t>DR MARTA</t>
  </si>
  <si>
    <t xml:space="preserve">DR ALLANA </t>
  </si>
  <si>
    <t>SEGURO ESTAGIARIA</t>
  </si>
  <si>
    <t>VT ESTAGIARIA</t>
  </si>
  <si>
    <t>UBER</t>
  </si>
  <si>
    <t>PINCA</t>
  </si>
  <si>
    <t>CHUPETA</t>
  </si>
  <si>
    <t>XYLOCAINA</t>
  </si>
  <si>
    <t>DR ELVIO</t>
  </si>
  <si>
    <t>PIX</t>
  </si>
  <si>
    <t>INFLUENCER</t>
  </si>
  <si>
    <t>RICARDO</t>
  </si>
  <si>
    <t>ATACAREJO DO POVO</t>
  </si>
  <si>
    <t xml:space="preserve">CONSORCIO </t>
  </si>
  <si>
    <t>TURBO</t>
  </si>
  <si>
    <t xml:space="preserve">DR RAFAEL </t>
  </si>
  <si>
    <t>MATERIAIS</t>
  </si>
  <si>
    <t>RODRIGO DISTRIBUIDORA</t>
  </si>
  <si>
    <t xml:space="preserve">PRONAMPI </t>
  </si>
  <si>
    <t xml:space="preserve">AGUA </t>
  </si>
  <si>
    <t>FLAVIA</t>
  </si>
  <si>
    <t>FARDA</t>
  </si>
  <si>
    <t>DR RAISSA</t>
  </si>
  <si>
    <t>MÉDICO</t>
  </si>
  <si>
    <t>SACO DE LIXO</t>
  </si>
  <si>
    <t>TOLDO</t>
  </si>
  <si>
    <t>DR DANIELA</t>
  </si>
  <si>
    <t>GASOLINA</t>
  </si>
  <si>
    <t>OUTROS</t>
  </si>
  <si>
    <t>ENDOSCOPIA</t>
  </si>
  <si>
    <t>DR ODON</t>
  </si>
  <si>
    <t>CLARO</t>
  </si>
  <si>
    <t xml:space="preserve">DR LIVIA </t>
  </si>
  <si>
    <t>BRASCON</t>
  </si>
  <si>
    <t>LIXO</t>
  </si>
  <si>
    <t>RODRIGO VENDEDOR</t>
  </si>
  <si>
    <t>JULHO</t>
  </si>
  <si>
    <t>IMPRESSORA</t>
  </si>
  <si>
    <t>PINCAS</t>
  </si>
  <si>
    <t>ESTAGIO</t>
  </si>
  <si>
    <t>VT ESTAGIO</t>
  </si>
  <si>
    <t>GEL</t>
  </si>
  <si>
    <t>DRA DANIELA</t>
  </si>
  <si>
    <t>IFOOD</t>
  </si>
  <si>
    <t>PH</t>
  </si>
  <si>
    <t>PONTO</t>
  </si>
  <si>
    <t>DR ARTHUR</t>
  </si>
  <si>
    <t>AUDIOMETRIA</t>
  </si>
  <si>
    <t>MATERIAL DE LIMPEZA</t>
  </si>
  <si>
    <t>PORTA</t>
  </si>
  <si>
    <t>OFTALMO</t>
  </si>
  <si>
    <t>RODRIGO</t>
  </si>
  <si>
    <t>VITORIA</t>
  </si>
  <si>
    <t>DR NATHALIA USG</t>
  </si>
  <si>
    <t>DR NATHALIA GINECO</t>
  </si>
  <si>
    <t>TR0C0</t>
  </si>
  <si>
    <t>BETA</t>
  </si>
  <si>
    <t xml:space="preserve">PAPEL </t>
  </si>
  <si>
    <t>PROCTOLOGISTA</t>
  </si>
  <si>
    <t>BARBEADOR</t>
  </si>
  <si>
    <t>COLONOSCOPIA</t>
  </si>
  <si>
    <t>DR RAYANE</t>
  </si>
  <si>
    <t>ENFERMEIRA</t>
  </si>
  <si>
    <t>DRA RAISSA</t>
  </si>
  <si>
    <t>PRONAMPE</t>
  </si>
  <si>
    <t>DOCE</t>
  </si>
  <si>
    <t>ALMOÇO</t>
  </si>
  <si>
    <t>FARMACIA</t>
  </si>
  <si>
    <t>DRA NATHALIA</t>
  </si>
  <si>
    <t>CREDITO</t>
  </si>
  <si>
    <t>NAT USG</t>
  </si>
  <si>
    <t>NAT GINECO</t>
  </si>
  <si>
    <t>DRA RAYANNE</t>
  </si>
  <si>
    <t>BLINDAGEM</t>
  </si>
  <si>
    <t>FONO</t>
  </si>
  <si>
    <t>BRUNA</t>
  </si>
  <si>
    <t>NUTRICIONISTA</t>
  </si>
  <si>
    <t>DRA CAMILLA</t>
  </si>
  <si>
    <t>RH</t>
  </si>
  <si>
    <t>DR LEALDO</t>
  </si>
  <si>
    <t>CHEIRINHO</t>
  </si>
  <si>
    <t>DR RHAIANA</t>
  </si>
  <si>
    <t>GILLETE</t>
  </si>
  <si>
    <t xml:space="preserve"> </t>
  </si>
  <si>
    <t>AGOSTO</t>
  </si>
  <si>
    <t>PATRICIA</t>
  </si>
  <si>
    <t>VT VITORIA</t>
  </si>
  <si>
    <t>VR</t>
  </si>
  <si>
    <t>DR RAIANA</t>
  </si>
  <si>
    <t>LIVIA</t>
  </si>
  <si>
    <t>CAMILLA</t>
  </si>
  <si>
    <t xml:space="preserve">COMISSAO </t>
  </si>
  <si>
    <t>CAMISAS</t>
  </si>
  <si>
    <t>UROLOGISTA</t>
  </si>
  <si>
    <t>RAIANA</t>
  </si>
  <si>
    <t>MEIO AMBIENTE</t>
  </si>
  <si>
    <t xml:space="preserve">VT </t>
  </si>
  <si>
    <t>FISIO</t>
  </si>
  <si>
    <t>DIA DOS PAIS</t>
  </si>
  <si>
    <t>PAI</t>
  </si>
  <si>
    <t>ROBSON</t>
  </si>
  <si>
    <t>RAYANE</t>
  </si>
  <si>
    <t>TACIANA</t>
  </si>
  <si>
    <t>COCA</t>
  </si>
  <si>
    <t>ROYALTIES</t>
  </si>
  <si>
    <t>ERLON</t>
  </si>
  <si>
    <t>ANDRE</t>
  </si>
  <si>
    <t>LEALDO</t>
  </si>
  <si>
    <t>FAST</t>
  </si>
  <si>
    <t>CAMERA</t>
  </si>
  <si>
    <t>THIAGO</t>
  </si>
  <si>
    <t>CARDIOCENTER</t>
  </si>
  <si>
    <t>TABLET</t>
  </si>
  <si>
    <t>MACA</t>
  </si>
  <si>
    <t>ODON</t>
  </si>
  <si>
    <t>ALINE</t>
  </si>
  <si>
    <t>ENGENHEIRO</t>
  </si>
  <si>
    <t>GINECO</t>
  </si>
  <si>
    <t>DR JORGE</t>
  </si>
  <si>
    <t>BLOGUEIRA</t>
  </si>
  <si>
    <t>LAB MOREES</t>
  </si>
  <si>
    <t>CARRO BIA</t>
  </si>
  <si>
    <t>CURSO</t>
  </si>
  <si>
    <t>ARTUR FISIO</t>
  </si>
  <si>
    <t>JAIRO</t>
  </si>
  <si>
    <t>LETICIA</t>
  </si>
  <si>
    <t>SUEYENE</t>
  </si>
  <si>
    <t>RAISSA</t>
  </si>
  <si>
    <t>CERTIFICADO</t>
  </si>
  <si>
    <t>IONE</t>
  </si>
  <si>
    <t>SORO</t>
  </si>
  <si>
    <t>taciana</t>
  </si>
  <si>
    <t>SETEMBRO</t>
  </si>
  <si>
    <t>VR IONE</t>
  </si>
  <si>
    <t>VR MAYARA</t>
  </si>
  <si>
    <t>VT MAYARA</t>
  </si>
  <si>
    <t>VT IONE</t>
  </si>
  <si>
    <t>VR VITORIA</t>
  </si>
  <si>
    <t>SETEMBRO AMARELO</t>
  </si>
  <si>
    <t>DANIELA</t>
  </si>
  <si>
    <t>VT</t>
  </si>
  <si>
    <t>CARTAO ICADO</t>
  </si>
  <si>
    <t>TIAGO</t>
  </si>
  <si>
    <t>TUBOS</t>
  </si>
  <si>
    <t>LIMPEZA</t>
  </si>
  <si>
    <t>ALMOCO</t>
  </si>
  <si>
    <t>CADEIRA DE RODAS</t>
  </si>
  <si>
    <t>JUROS CHEQUE</t>
  </si>
  <si>
    <t>TARIFA PIX</t>
  </si>
  <si>
    <t>LUANA</t>
  </si>
  <si>
    <t>odon</t>
  </si>
  <si>
    <t>DR LETICIA</t>
  </si>
  <si>
    <t>INDIRA</t>
  </si>
  <si>
    <t>NATHALIA</t>
  </si>
  <si>
    <t>NUTRI</t>
  </si>
  <si>
    <t>ULTRAMEGA</t>
  </si>
  <si>
    <t>manutencao</t>
  </si>
  <si>
    <t>holter</t>
  </si>
  <si>
    <t>MAQUINARIO</t>
  </si>
  <si>
    <t>MORAES</t>
  </si>
  <si>
    <t>PIRULITO</t>
  </si>
  <si>
    <t>COLER</t>
  </si>
  <si>
    <t>PIPETA</t>
  </si>
  <si>
    <t>COLCHAO</t>
  </si>
  <si>
    <t>SEGURANÇA</t>
  </si>
  <si>
    <t>JULIA</t>
  </si>
  <si>
    <t>CESAR</t>
  </si>
  <si>
    <t>KENIO</t>
  </si>
  <si>
    <t>CANCELAMENTO</t>
  </si>
  <si>
    <t>SODRE</t>
  </si>
  <si>
    <t>PREVIMAGEM</t>
  </si>
  <si>
    <t>FISO</t>
  </si>
  <si>
    <t>CARIMBO</t>
  </si>
  <si>
    <t>MISAEL</t>
  </si>
  <si>
    <t>bolo</t>
  </si>
  <si>
    <t>lembrancinha</t>
  </si>
  <si>
    <t>impressao</t>
  </si>
  <si>
    <t>LAMINA</t>
  </si>
  <si>
    <t>VIDEO</t>
  </si>
  <si>
    <t>OUTUBRO</t>
  </si>
  <si>
    <t>ANDRÉ</t>
  </si>
  <si>
    <t>ADESIVO E LIMPEZA</t>
  </si>
  <si>
    <t>LOTERICA</t>
  </si>
  <si>
    <t>MAYARA</t>
  </si>
  <si>
    <t>ANA</t>
  </si>
  <si>
    <t>AGULHA</t>
  </si>
  <si>
    <t>CANECA</t>
  </si>
  <si>
    <t>BRENA</t>
  </si>
  <si>
    <t>MANUNTENCAO</t>
  </si>
  <si>
    <t>JUROS</t>
  </si>
  <si>
    <t>CARTAO</t>
  </si>
  <si>
    <t>CRIANCAS</t>
  </si>
  <si>
    <t>NATH</t>
  </si>
  <si>
    <t>MARKETING</t>
  </si>
  <si>
    <t>RESSONANCIA</t>
  </si>
  <si>
    <t>olinda</t>
  </si>
  <si>
    <t>top</t>
  </si>
  <si>
    <t>mkt</t>
  </si>
  <si>
    <t>MKT</t>
  </si>
  <si>
    <t>RAYANNE</t>
  </si>
  <si>
    <t>LAPIS</t>
  </si>
  <si>
    <t>HOLTER</t>
  </si>
  <si>
    <t>PERSONAGEM</t>
  </si>
  <si>
    <t>DC</t>
  </si>
  <si>
    <t>BRINQUEDOS</t>
  </si>
  <si>
    <t>FOTO</t>
  </si>
  <si>
    <t>CARDIO</t>
  </si>
  <si>
    <t>VASCULAR</t>
  </si>
  <si>
    <t>DIOGO</t>
  </si>
  <si>
    <t>RAIHANA</t>
  </si>
  <si>
    <t>TV</t>
  </si>
  <si>
    <t>GOOGLE MEU NGC</t>
  </si>
  <si>
    <t>OLINDA</t>
  </si>
  <si>
    <t>COMBUSTAO</t>
  </si>
  <si>
    <t>INSUMO</t>
  </si>
  <si>
    <t>HARPA</t>
  </si>
  <si>
    <t>BOMSUCESSO ORDINARIO</t>
  </si>
  <si>
    <t>DRA ALINE</t>
  </si>
  <si>
    <t>DANI</t>
  </si>
  <si>
    <t>FUNCIONARIO</t>
  </si>
  <si>
    <t>NOVEMBRO</t>
  </si>
  <si>
    <t>MANUNTENCAO MAPA</t>
  </si>
  <si>
    <t>ALINNE</t>
  </si>
  <si>
    <t>DANILO</t>
  </si>
  <si>
    <t>COPO</t>
  </si>
  <si>
    <t>GK CIDRIM</t>
  </si>
  <si>
    <t>VIDEOS</t>
  </si>
  <si>
    <t>SACOLA</t>
  </si>
  <si>
    <t>JANTAR</t>
  </si>
  <si>
    <t>andre</t>
  </si>
  <si>
    <t>LABORATORIO</t>
  </si>
  <si>
    <t>ALVARO</t>
  </si>
  <si>
    <t>FGTS</t>
  </si>
  <si>
    <t>aline</t>
  </si>
  <si>
    <t>vitoria</t>
  </si>
  <si>
    <t>brena</t>
  </si>
  <si>
    <t>vigilante</t>
  </si>
  <si>
    <t>PAULA</t>
  </si>
  <si>
    <t>DANIELLA</t>
  </si>
  <si>
    <t>POSTURA GABRIEL</t>
  </si>
  <si>
    <t>GOOGLE</t>
  </si>
  <si>
    <t>medical</t>
  </si>
  <si>
    <t>CAVALETE</t>
  </si>
  <si>
    <t>NEURO</t>
  </si>
  <si>
    <t>PILHA</t>
  </si>
  <si>
    <t>CERTIFICADO DIGITAL</t>
  </si>
  <si>
    <t>FERNANDO</t>
  </si>
  <si>
    <t>DEZEMBRO</t>
  </si>
  <si>
    <t>RAIO X</t>
  </si>
  <si>
    <t>LUCRO</t>
  </si>
  <si>
    <t>MêS</t>
  </si>
  <si>
    <t>MARÇO</t>
  </si>
  <si>
    <t>ABRIL</t>
  </si>
  <si>
    <t>CADKA</t>
  </si>
  <si>
    <t>MANUNTENCAO PORTA</t>
  </si>
  <si>
    <t>ana</t>
  </si>
  <si>
    <t>uber</t>
  </si>
  <si>
    <t>BOLSA ESTAGIO</t>
  </si>
  <si>
    <t>PADARIA</t>
  </si>
  <si>
    <t>BONSUCESSO</t>
  </si>
  <si>
    <t>ARTHUR</t>
  </si>
  <si>
    <t>LAB GK</t>
  </si>
  <si>
    <t>INACIA</t>
  </si>
  <si>
    <t>CEMUP</t>
  </si>
  <si>
    <t>MÁQUINA</t>
  </si>
  <si>
    <t>MELHOR IMAGEM</t>
  </si>
  <si>
    <t>MKT LOTERICA</t>
  </si>
  <si>
    <t>PREV</t>
  </si>
  <si>
    <t>MATERIAL GRAFICO</t>
  </si>
  <si>
    <t>MARCELO</t>
  </si>
  <si>
    <t>CONFRA</t>
  </si>
  <si>
    <t>JANEIRO</t>
  </si>
  <si>
    <t>CAFÉ E BOLACHA</t>
  </si>
  <si>
    <t>BULTRINIS</t>
  </si>
  <si>
    <t>ADVOGADO</t>
  </si>
  <si>
    <t>CHIP</t>
  </si>
  <si>
    <t>PANO</t>
  </si>
  <si>
    <t>RODRIO TAVARES</t>
  </si>
  <si>
    <t>LIMPEZA CX DAGUA</t>
  </si>
  <si>
    <t>PANFLETO</t>
  </si>
  <si>
    <t>CARD</t>
  </si>
  <si>
    <t>GK</t>
  </si>
  <si>
    <t>GRAFICA CARD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</si>
</sst>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R$&quot;\ #,##0;[Red]\-&quot;R$&quot;\ #,##0"/>
    <numFmt numFmtId="44" formatCode="_-&quot;R$&quot;\ * #,##0.00_-;\-&quot;R$&quot;\ * #,##0.00_-;_-&quot;R$&quot;\ * &quot;-&quot;??_-;_-@_-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b/>
      <sz val="16"/>
      <color theme="0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9"/>
      <name val="Aptos Narrow"/>
      <family val="2"/>
      <scheme val="minor"/>
    </font>
    <font>
      <b/>
      <sz val="11"/>
      <color rgb="FFFF0000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2F2F2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6" tint="0.79998168889431442"/>
        <bgColor indexed="65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/>
      <bottom style="thin">
        <color rgb="FF7F7F7F"/>
      </bottom>
      <diagonal/>
    </border>
    <border>
      <left/>
      <right/>
      <top style="thin">
        <color theme="1"/>
      </top>
      <bottom style="thin">
        <color theme="1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0" fontId="3" fillId="4" borderId="2" applyNumberFormat="0" applyAlignment="0" applyProtection="0"/>
    <xf numFmtId="0" fontId="1" fillId="8" borderId="0" applyNumberFormat="0" applyBorder="0" applyAlignment="0" applyProtection="0"/>
  </cellStyleXfs>
  <cellXfs count="29">
    <xf numFmtId="0" fontId="0" fillId="0" borderId="0" xfId="0"/>
    <xf numFmtId="44" fontId="0" fillId="0" borderId="0" xfId="1" applyFont="1"/>
    <xf numFmtId="0" fontId="2" fillId="2" borderId="0" xfId="0" applyFont="1" applyFill="1" applyAlignment="1">
      <alignment horizontal="center"/>
    </xf>
    <xf numFmtId="6" fontId="0" fillId="0" borderId="0" xfId="0" applyNumberFormat="1"/>
    <xf numFmtId="0" fontId="0" fillId="0" borderId="0" xfId="0" applyAlignment="1">
      <alignment horizontal="center"/>
    </xf>
    <xf numFmtId="6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6" fontId="2" fillId="3" borderId="0" xfId="0" applyNumberFormat="1" applyFont="1" applyFill="1" applyAlignment="1">
      <alignment horizontal="center"/>
    </xf>
    <xf numFmtId="0" fontId="3" fillId="4" borderId="2" xfId="2" applyAlignment="1">
      <alignment horizontal="center"/>
    </xf>
    <xf numFmtId="44" fontId="0" fillId="0" borderId="0" xfId="0" applyNumberFormat="1"/>
    <xf numFmtId="44" fontId="2" fillId="0" borderId="0" xfId="0" applyNumberFormat="1" applyFont="1"/>
    <xf numFmtId="14" fontId="0" fillId="0" borderId="0" xfId="0" applyNumberFormat="1"/>
    <xf numFmtId="0" fontId="3" fillId="4" borderId="3" xfId="2" applyBorder="1" applyAlignment="1">
      <alignment horizontal="center"/>
    </xf>
    <xf numFmtId="14" fontId="3" fillId="4" borderId="3" xfId="2" applyNumberFormat="1" applyBorder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1" applyNumberFormat="1" applyFont="1" applyAlignment="1">
      <alignment horizontal="center"/>
    </xf>
    <xf numFmtId="0" fontId="4" fillId="6" borderId="0" xfId="0" applyFont="1" applyFill="1"/>
    <xf numFmtId="0" fontId="4" fillId="6" borderId="0" xfId="0" applyFont="1" applyFill="1" applyAlignment="1">
      <alignment horizontal="center"/>
    </xf>
    <xf numFmtId="44" fontId="0" fillId="3" borderId="0" xfId="1" applyFont="1" applyFill="1"/>
    <xf numFmtId="44" fontId="2" fillId="3" borderId="0" xfId="0" applyNumberFormat="1" applyFont="1" applyFill="1"/>
    <xf numFmtId="14" fontId="0" fillId="7" borderId="4" xfId="0" applyNumberFormat="1" applyFill="1" applyBorder="1"/>
    <xf numFmtId="0" fontId="2" fillId="8" borderId="1" xfId="3" applyFont="1" applyBorder="1" applyAlignment="1">
      <alignment horizontal="center"/>
    </xf>
    <xf numFmtId="44" fontId="7" fillId="0" borderId="0" xfId="0" applyNumberFormat="1" applyFont="1"/>
    <xf numFmtId="44" fontId="0" fillId="0" borderId="1" xfId="1" applyFont="1" applyBorder="1"/>
    <xf numFmtId="44" fontId="6" fillId="0" borderId="1" xfId="1" applyFont="1" applyBorder="1"/>
    <xf numFmtId="44" fontId="7" fillId="0" borderId="1" xfId="1" applyFont="1" applyBorder="1"/>
    <xf numFmtId="0" fontId="4" fillId="5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/>
    </xf>
  </cellXfs>
  <cellStyles count="4">
    <cellStyle name="20% - Ênfase3" xfId="3" builtinId="38"/>
    <cellStyle name="Cálculo" xfId="2" builtinId="22"/>
    <cellStyle name="Moeda" xfId="1" builtinId="4"/>
    <cellStyle name="Normal" xfId="0" builtinId="0"/>
  </cellStyles>
  <dxfs count="1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rgb="FFFFFF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border outline="0">
        <top style="thin">
          <color rgb="FF7F7F7F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border outline="0">
        <bottom style="thin">
          <color rgb="FF7F7F7F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7F7F7F"/>
        </left>
        <right style="thin">
          <color rgb="FF7F7F7F"/>
        </right>
        <top/>
        <bottom/>
      </border>
    </dxf>
    <dxf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border outline="0">
        <top style="thin">
          <color rgb="FF7F7F7F"/>
        </top>
      </border>
    </dxf>
    <dxf>
      <border outline="0">
        <bottom style="thin">
          <color rgb="FF7F7F7F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7F7F7F"/>
        </left>
        <right style="thin">
          <color rgb="FF7F7F7F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[LP SAUDE - ATUALIZADO.xlsx]Gerencial!Tabela dinâmica1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Gerencial!$D$4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Gerencial!$C$5:$C$22</c:f>
              <c:strCache>
                <c:ptCount val="17"/>
                <c:pt idx="0">
                  <c:v>insumos</c:v>
                </c:pt>
                <c:pt idx="1">
                  <c:v>Laboratorio</c:v>
                </c:pt>
                <c:pt idx="2">
                  <c:v>Marketing</c:v>
                </c:pt>
                <c:pt idx="3">
                  <c:v>Médico</c:v>
                </c:pt>
                <c:pt idx="4">
                  <c:v>Outros</c:v>
                </c:pt>
                <c:pt idx="5">
                  <c:v>Terceiros</c:v>
                </c:pt>
                <c:pt idx="6">
                  <c:v>Estorno</c:v>
                </c:pt>
                <c:pt idx="7">
                  <c:v>Royalties</c:v>
                </c:pt>
                <c:pt idx="8">
                  <c:v>Aluguel</c:v>
                </c:pt>
                <c:pt idx="9">
                  <c:v>CONTADOR</c:v>
                </c:pt>
                <c:pt idx="10">
                  <c:v>INTERNET</c:v>
                </c:pt>
                <c:pt idx="11">
                  <c:v>FAXINA</c:v>
                </c:pt>
                <c:pt idx="12">
                  <c:v>SISTEMA</c:v>
                </c:pt>
                <c:pt idx="13">
                  <c:v>EMPRESTIMO</c:v>
                </c:pt>
                <c:pt idx="14">
                  <c:v>ENERGIA</c:v>
                </c:pt>
                <c:pt idx="15">
                  <c:v>FUNCIONARIO</c:v>
                </c:pt>
                <c:pt idx="16">
                  <c:v>SEGURANCA</c:v>
                </c:pt>
              </c:strCache>
            </c:strRef>
          </c:cat>
          <c:val>
            <c:numRef>
              <c:f>Gerencial!$D$5:$D$22</c:f>
              <c:numCache>
                <c:formatCode>_("R$"* #,##0.00_);_("R$"* \(#,##0.00\);_("R$"* "-"??_);_(@_)</c:formatCode>
                <c:ptCount val="17"/>
                <c:pt idx="0">
                  <c:v>4077.04</c:v>
                </c:pt>
                <c:pt idx="1">
                  <c:v>7765</c:v>
                </c:pt>
                <c:pt idx="2">
                  <c:v>4841</c:v>
                </c:pt>
                <c:pt idx="3">
                  <c:v>21925</c:v>
                </c:pt>
                <c:pt idx="4">
                  <c:v>925</c:v>
                </c:pt>
                <c:pt idx="5">
                  <c:v>4005</c:v>
                </c:pt>
                <c:pt idx="6">
                  <c:v>915</c:v>
                </c:pt>
                <c:pt idx="7">
                  <c:v>3500</c:v>
                </c:pt>
                <c:pt idx="8">
                  <c:v>5000</c:v>
                </c:pt>
                <c:pt idx="9">
                  <c:v>1050</c:v>
                </c:pt>
                <c:pt idx="10">
                  <c:v>170</c:v>
                </c:pt>
                <c:pt idx="11">
                  <c:v>510</c:v>
                </c:pt>
                <c:pt idx="12">
                  <c:v>1500</c:v>
                </c:pt>
                <c:pt idx="13">
                  <c:v>2315</c:v>
                </c:pt>
                <c:pt idx="14">
                  <c:v>85</c:v>
                </c:pt>
                <c:pt idx="15">
                  <c:v>14615.5</c:v>
                </c:pt>
                <c:pt idx="16">
                  <c:v>1120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680-4872-8AD6-DEA9060ED8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146767"/>
        <c:axId val="13151087"/>
      </c:barChart>
      <c:catAx>
        <c:axId val="131467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151087"/>
        <c:crosses val="autoZero"/>
        <c:auto val="1"/>
        <c:lblAlgn val="ctr"/>
        <c:lblOffset val="100"/>
        <c:noMultiLvlLbl val="0"/>
      </c:catAx>
      <c:valAx>
        <c:axId val="131510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R$&quot;* #,##0.00_);_(&quot;R$&quot;* \(#,##0.00\);_(&quot;R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1467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967740</xdr:colOff>
      <xdr:row>1</xdr:row>
      <xdr:rowOff>163830</xdr:rowOff>
    </xdr:from>
    <xdr:to>
      <xdr:col>13</xdr:col>
      <xdr:colOff>38100</xdr:colOff>
      <xdr:row>19</xdr:row>
      <xdr:rowOff>30480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4015D8E-7852-666F-42CD-F83ED238667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13</xdr:col>
      <xdr:colOff>68580</xdr:colOff>
      <xdr:row>1</xdr:row>
      <xdr:rowOff>175260</xdr:rowOff>
    </xdr:from>
    <xdr:to>
      <xdr:col>15</xdr:col>
      <xdr:colOff>15240</xdr:colOff>
      <xdr:row>14</xdr:row>
      <xdr:rowOff>167640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Mês">
              <a:extLst>
                <a:ext uri="{FF2B5EF4-FFF2-40B4-BE49-F238E27FC236}">
                  <a16:creationId xmlns:a16="http://schemas.microsoft.com/office/drawing/2014/main" id="{12E659C8-F7F6-0DB4-8B41-10FA2370203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ês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326880" y="358140"/>
              <a:ext cx="1165860" cy="227076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aio Oliveira" refreshedDate="46038.032464930555" createdVersion="8" refreshedVersion="8" minRefreshableVersion="3" recordCount="1685" xr:uid="{30D13541-146E-4E0F-BE28-23B37BB9DFE7}">
  <cacheSource type="worksheet">
    <worksheetSource name="Tabela1"/>
  </cacheSource>
  <cacheFields count="5">
    <cacheField name="PAGAMENTOS" numFmtId="0">
      <sharedItems/>
    </cacheField>
    <cacheField name="VALOR" numFmtId="44">
      <sharedItems containsSemiMixedTypes="0" containsString="0" containsNumber="1" minValue="1" maxValue="16298.38"/>
    </cacheField>
    <cacheField name="Mês" numFmtId="44">
      <sharedItems containsBlank="1" count="12">
        <s v="Março"/>
        <s v="Abril"/>
        <s v="Maio"/>
        <s v="JUNHO"/>
        <s v="JULHO"/>
        <s v="AGOSTO"/>
        <s v="SETEMBRO"/>
        <s v="OUTUBRO"/>
        <s v="NOVEMBRO"/>
        <s v="DEZEMBRO"/>
        <s v="JANEIRO"/>
        <m u="1"/>
      </sharedItems>
    </cacheField>
    <cacheField name="DATA" numFmtId="14">
      <sharedItems containsSemiMixedTypes="0" containsNonDate="0" containsDate="1" containsString="0" minDate="2025-01-16T00:00:00" maxDate="2026-01-16T00:00:00"/>
    </cacheField>
    <cacheField name="Categoria" numFmtId="0">
      <sharedItems containsBlank="1" count="38">
        <s v="Funcionário"/>
        <s v="insumos"/>
        <s v="Suprimentos"/>
        <s v="Médico"/>
        <s v="Marketing"/>
        <s v="Laboratorio"/>
        <s v="Outros"/>
        <s v="Terceiros"/>
        <s v="Troco"/>
        <s v="Estorno"/>
        <s v="Royalties"/>
        <s v="Aluguel"/>
        <s v="CONTADOR"/>
        <s v="INTERNET"/>
        <s v="CONSORCIO"/>
        <s v="FAXINA"/>
        <s v="IMPOSTO"/>
        <s v="SISTEMA"/>
        <s v="VIGILANTE"/>
        <s v="SEGURO"/>
        <s v="EMPRESTIMO"/>
        <s v="ENERGIA"/>
        <s v="FAST IA"/>
        <s v="LIXO"/>
        <s v="FAST"/>
        <s v="TARIFA PIX"/>
        <s v="MAQUINARIO"/>
        <s v="SEGURANÇA"/>
        <s v="MISAEL"/>
        <s v="CONSULTORIA"/>
        <s v="FUNCIONARIO"/>
        <s v="BRASCON"/>
        <s v="SEGURANCA"/>
        <s v="MÁQUINA"/>
        <s v="CONSUTORIA" u="1"/>
        <s v="Funcio+L53:L63nário" u="1"/>
        <m u="1"/>
        <s v="TESTE" u="1"/>
      </sharedItems>
    </cacheField>
  </cacheFields>
  <extLst>
    <ext xmlns:x14="http://schemas.microsoft.com/office/spreadsheetml/2009/9/main" uri="{725AE2AE-9491-48be-B2B4-4EB974FC3084}">
      <x14:pivotCacheDefinition pivotCacheId="656665042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85">
  <r>
    <s v="CRIS VR"/>
    <n v="328"/>
    <x v="0"/>
    <d v="2025-03-09T00:00:00"/>
    <x v="0"/>
  </r>
  <r>
    <s v="CRIS VT"/>
    <n v="163.4"/>
    <x v="0"/>
    <d v="2025-03-09T00:00:00"/>
    <x v="0"/>
  </r>
  <r>
    <s v="GABI VT"/>
    <n v="163.4"/>
    <x v="0"/>
    <d v="2025-03-09T00:00:00"/>
    <x v="0"/>
  </r>
  <r>
    <s v="GABI VR"/>
    <n v="328"/>
    <x v="0"/>
    <d v="2025-03-09T00:00:00"/>
    <x v="0"/>
  </r>
  <r>
    <s v="BRILHO VT"/>
    <n v="163.4"/>
    <x v="0"/>
    <d v="2025-03-09T00:00:00"/>
    <x v="0"/>
  </r>
  <r>
    <s v="BRILHO VR"/>
    <n v="328"/>
    <x v="0"/>
    <d v="2025-03-09T00:00:00"/>
    <x v="0"/>
  </r>
  <r>
    <s v="MEDICAL"/>
    <n v="80"/>
    <x v="0"/>
    <d v="2025-03-18T00:00:00"/>
    <x v="1"/>
  </r>
  <r>
    <s v="CAFÉ"/>
    <n v="32"/>
    <x v="0"/>
    <d v="2025-03-20T00:00:00"/>
    <x v="2"/>
  </r>
  <r>
    <s v="DR MARIANA"/>
    <n v="300"/>
    <x v="0"/>
    <d v="2025-03-21T00:00:00"/>
    <x v="3"/>
  </r>
  <r>
    <s v="MEDICA"/>
    <n v="300"/>
    <x v="0"/>
    <d v="2025-03-21T00:00:00"/>
    <x v="3"/>
  </r>
  <r>
    <s v="DR MICHELLE"/>
    <n v="300"/>
    <x v="0"/>
    <d v="2025-03-21T00:00:00"/>
    <x v="3"/>
  </r>
  <r>
    <s v="TRAFEGO"/>
    <n v="350"/>
    <x v="0"/>
    <d v="2025-03-21T00:00:00"/>
    <x v="4"/>
  </r>
  <r>
    <s v="Dr Raissa"/>
    <n v="300"/>
    <x v="0"/>
    <d v="2025-03-24T00:00:00"/>
    <x v="3"/>
  </r>
  <r>
    <s v="Aelson"/>
    <n v="300"/>
    <x v="0"/>
    <d v="2025-03-25T00:00:00"/>
    <x v="3"/>
  </r>
  <r>
    <s v="VT CRIS COMPLEMENTAR"/>
    <n v="326.8"/>
    <x v="0"/>
    <d v="2025-03-25T00:00:00"/>
    <x v="0"/>
  </r>
  <r>
    <s v="AGUA"/>
    <n v="56.16"/>
    <x v="0"/>
    <d v="2025-03-25T00:00:00"/>
    <x v="2"/>
  </r>
  <r>
    <s v="LABOVIDA"/>
    <n v="127.1"/>
    <x v="0"/>
    <d v="2025-03-25T00:00:00"/>
    <x v="5"/>
  </r>
  <r>
    <s v="DR MARLLA"/>
    <n v="360"/>
    <x v="0"/>
    <d v="2025-03-25T00:00:00"/>
    <x v="3"/>
  </r>
  <r>
    <s v="DR Andre"/>
    <n v="300"/>
    <x v="0"/>
    <d v="2025-03-26T00:00:00"/>
    <x v="3"/>
  </r>
  <r>
    <s v="MOVEL"/>
    <n v="400"/>
    <x v="0"/>
    <d v="2025-03-26T00:00:00"/>
    <x v="6"/>
  </r>
  <r>
    <s v="ALDENIR"/>
    <n v="32"/>
    <x v="0"/>
    <d v="2025-03-26T00:00:00"/>
    <x v="2"/>
  </r>
  <r>
    <s v="LABOVIDA"/>
    <n v="43.05"/>
    <x v="0"/>
    <d v="2025-03-27T00:00:00"/>
    <x v="5"/>
  </r>
  <r>
    <s v="AGUA"/>
    <n v="15"/>
    <x v="0"/>
    <d v="2025-03-27T00:00:00"/>
    <x v="2"/>
  </r>
  <r>
    <s v="AGRADO P/MEDICA"/>
    <n v="20"/>
    <x v="0"/>
    <d v="2025-03-28T00:00:00"/>
    <x v="6"/>
  </r>
  <r>
    <s v="DR RAYANNE"/>
    <n v="400"/>
    <x v="0"/>
    <d v="2025-03-28T00:00:00"/>
    <x v="3"/>
  </r>
  <r>
    <s v="DR MICHELLE"/>
    <n v="900"/>
    <x v="0"/>
    <d v="2025-03-28T00:00:00"/>
    <x v="3"/>
  </r>
  <r>
    <s v="DR MARIANA"/>
    <n v="300"/>
    <x v="0"/>
    <d v="2025-03-28T00:00:00"/>
    <x v="3"/>
  </r>
  <r>
    <s v="TRAFEGO"/>
    <n v="350"/>
    <x v="0"/>
    <d v="2025-03-28T00:00:00"/>
    <x v="4"/>
  </r>
  <r>
    <s v="MAMOGRAFIA"/>
    <n v="80"/>
    <x v="0"/>
    <d v="2025-03-28T00:00:00"/>
    <x v="7"/>
  </r>
  <r>
    <s v="PREV IMAGEM"/>
    <n v="215"/>
    <x v="0"/>
    <d v="2025-03-28T00:00:00"/>
    <x v="7"/>
  </r>
  <r>
    <s v="DR ROSELLI"/>
    <n v="50"/>
    <x v="0"/>
    <d v="2025-03-29T00:00:00"/>
    <x v="3"/>
  </r>
  <r>
    <s v="DR MICHELLE"/>
    <n v="180"/>
    <x v="0"/>
    <d v="2025-03-31T00:00:00"/>
    <x v="3"/>
  </r>
  <r>
    <s v="LABOVIDA"/>
    <n v="171.95"/>
    <x v="1"/>
    <d v="2025-04-01T00:00:00"/>
    <x v="5"/>
  </r>
  <r>
    <s v="Troco"/>
    <n v="37"/>
    <x v="1"/>
    <d v="2025-04-01T00:00:00"/>
    <x v="8"/>
  </r>
  <r>
    <s v="DR MICHELLE"/>
    <n v="600"/>
    <x v="1"/>
    <d v="2025-04-01T00:00:00"/>
    <x v="3"/>
  </r>
  <r>
    <s v="DR RAFAEL"/>
    <n v="300"/>
    <x v="1"/>
    <d v="2025-04-02T00:00:00"/>
    <x v="3"/>
  </r>
  <r>
    <s v="DR CRISTIANE"/>
    <n v="300"/>
    <x v="1"/>
    <d v="2025-04-02T00:00:00"/>
    <x v="3"/>
  </r>
  <r>
    <s v="TOXICOLOGICO"/>
    <n v="155"/>
    <x v="1"/>
    <d v="2025-04-02T00:00:00"/>
    <x v="7"/>
  </r>
  <r>
    <s v="DEVOLUÇÃO"/>
    <n v="120"/>
    <x v="1"/>
    <d v="2025-04-03T00:00:00"/>
    <x v="9"/>
  </r>
  <r>
    <s v="VALES GABI"/>
    <n v="491.4"/>
    <x v="1"/>
    <d v="2025-04-03T00:00:00"/>
    <x v="0"/>
  </r>
  <r>
    <s v="VALES BRILHO"/>
    <n v="491.4"/>
    <x v="1"/>
    <d v="2025-04-03T00:00:00"/>
    <x v="0"/>
  </r>
  <r>
    <s v="VALES CRIS"/>
    <n v="654.79999999999995"/>
    <x v="1"/>
    <d v="2025-04-03T00:00:00"/>
    <x v="0"/>
  </r>
  <r>
    <s v="LABOVIDA"/>
    <n v="153.38"/>
    <x v="1"/>
    <d v="2025-04-03T00:00:00"/>
    <x v="5"/>
  </r>
  <r>
    <s v="VALES GABI"/>
    <n v="116.4"/>
    <x v="1"/>
    <d v="2025-04-03T00:00:00"/>
    <x v="0"/>
  </r>
  <r>
    <s v="VALES BRILHO"/>
    <n v="116.4"/>
    <x v="1"/>
    <d v="2025-04-03T00:00:00"/>
    <x v="0"/>
  </r>
  <r>
    <s v="VALES CRIS"/>
    <n v="158.80000000000001"/>
    <x v="1"/>
    <d v="2025-04-03T00:00:00"/>
    <x v="0"/>
  </r>
  <r>
    <s v="NEGA MALUCA"/>
    <n v="10"/>
    <x v="1"/>
    <d v="2025-04-03T00:00:00"/>
    <x v="6"/>
  </r>
  <r>
    <s v="SALARIO CRIS"/>
    <n v="1107"/>
    <x v="1"/>
    <d v="2025-04-04T00:00:00"/>
    <x v="0"/>
  </r>
  <r>
    <s v="SALARIO GABI"/>
    <n v="1026"/>
    <x v="1"/>
    <d v="2025-04-04T00:00:00"/>
    <x v="0"/>
  </r>
  <r>
    <s v="SALARIO BRILHO"/>
    <n v="1195"/>
    <x v="1"/>
    <d v="2025-04-04T00:00:00"/>
    <x v="0"/>
  </r>
  <r>
    <s v="IMPRESSAO"/>
    <n v="90"/>
    <x v="1"/>
    <d v="2025-04-04T00:00:00"/>
    <x v="6"/>
  </r>
  <r>
    <s v="TAXA BOMBEIRO"/>
    <n v="1600"/>
    <x v="1"/>
    <d v="2025-04-04T00:00:00"/>
    <x v="6"/>
  </r>
  <r>
    <s v="SALARIO PATRICIA"/>
    <n v="1500"/>
    <x v="1"/>
    <d v="2025-04-04T00:00:00"/>
    <x v="0"/>
  </r>
  <r>
    <s v="SALARIO BIA"/>
    <n v="2000"/>
    <x v="1"/>
    <d v="2025-04-04T00:00:00"/>
    <x v="0"/>
  </r>
  <r>
    <s v="TRAFEGO"/>
    <n v="350"/>
    <x v="1"/>
    <d v="2025-04-04T00:00:00"/>
    <x v="4"/>
  </r>
  <r>
    <s v="TOP DIAGNOSTICO"/>
    <n v="40"/>
    <x v="1"/>
    <d v="2025-04-04T00:00:00"/>
    <x v="7"/>
  </r>
  <r>
    <s v="GELO"/>
    <n v="12"/>
    <x v="1"/>
    <d v="2025-04-05T00:00:00"/>
    <x v="6"/>
  </r>
  <r>
    <s v="DR CAMILLA"/>
    <n v="100"/>
    <x v="1"/>
    <d v="2025-04-05T00:00:00"/>
    <x v="3"/>
  </r>
  <r>
    <s v="GRADE"/>
    <n v="200"/>
    <x v="1"/>
    <d v="2025-04-05T00:00:00"/>
    <x v="6"/>
  </r>
  <r>
    <s v="ARMAZEM"/>
    <n v="20"/>
    <x v="1"/>
    <d v="2025-04-05T00:00:00"/>
    <x v="6"/>
  </r>
  <r>
    <s v="BALANÇA"/>
    <n v="35"/>
    <x v="1"/>
    <d v="2025-04-07T00:00:00"/>
    <x v="6"/>
  </r>
  <r>
    <s v="DR MARIANA"/>
    <n v="300"/>
    <x v="1"/>
    <d v="2025-04-07T00:00:00"/>
    <x v="3"/>
  </r>
  <r>
    <s v="TOXICOLOGICO"/>
    <n v="55"/>
    <x v="1"/>
    <d v="2025-04-07T00:00:00"/>
    <x v="7"/>
  </r>
  <r>
    <s v="Troco"/>
    <n v="5.5"/>
    <x v="1"/>
    <d v="2025-04-08T00:00:00"/>
    <x v="8"/>
  </r>
  <r>
    <s v="Carimbo"/>
    <n v="35"/>
    <x v="1"/>
    <d v="2025-04-08T00:00:00"/>
    <x v="6"/>
  </r>
  <r>
    <s v="Ácidos"/>
    <n v="70.349999999999994"/>
    <x v="1"/>
    <d v="2025-04-08T00:00:00"/>
    <x v="1"/>
  </r>
  <r>
    <s v="Rio Doce Ordinario"/>
    <n v="150"/>
    <x v="1"/>
    <d v="2025-04-08T00:00:00"/>
    <x v="4"/>
  </r>
  <r>
    <s v="LABOVIDA"/>
    <n v="21.34"/>
    <x v="1"/>
    <d v="2025-04-09T00:00:00"/>
    <x v="5"/>
  </r>
  <r>
    <s v="Rodrigo Tavares"/>
    <n v="2500"/>
    <x v="1"/>
    <d v="2025-04-09T00:00:00"/>
    <x v="10"/>
  </r>
  <r>
    <s v="Dr Andre"/>
    <n v="840"/>
    <x v="1"/>
    <d v="2025-04-09T00:00:00"/>
    <x v="3"/>
  </r>
  <r>
    <s v="GILETE"/>
    <n v="16.989999999999998"/>
    <x v="1"/>
    <d v="2025-04-09T00:00:00"/>
    <x v="6"/>
  </r>
  <r>
    <s v="DR MICHELLE"/>
    <n v="840"/>
    <x v="1"/>
    <d v="2025-04-09T00:00:00"/>
    <x v="3"/>
  </r>
  <r>
    <s v="DR MARLLA"/>
    <n v="1180"/>
    <x v="1"/>
    <d v="2025-04-09T00:00:00"/>
    <x v="3"/>
  </r>
  <r>
    <s v="VR RAQUEL"/>
    <n v="300"/>
    <x v="1"/>
    <d v="2025-04-09T00:00:00"/>
    <x v="0"/>
  </r>
  <r>
    <s v="TOP DIAGNOSTICO"/>
    <n v="40"/>
    <x v="1"/>
    <d v="2025-04-09T00:00:00"/>
    <x v="7"/>
  </r>
  <r>
    <s v="DEMISSAO GABI"/>
    <n v="747.88"/>
    <x v="1"/>
    <d v="2025-04-10T00:00:00"/>
    <x v="0"/>
  </r>
  <r>
    <s v="FGTS GABI"/>
    <n v="108.38"/>
    <x v="1"/>
    <d v="2025-04-10T00:00:00"/>
    <x v="0"/>
  </r>
  <r>
    <s v="TROCO"/>
    <n v="11.5"/>
    <x v="1"/>
    <d v="2025-04-10T00:00:00"/>
    <x v="8"/>
  </r>
  <r>
    <s v="FGTS BRILHO"/>
    <n v="125.53"/>
    <x v="1"/>
    <d v="2025-04-10T00:00:00"/>
    <x v="0"/>
  </r>
  <r>
    <s v="DR LEDA"/>
    <n v="300"/>
    <x v="1"/>
    <d v="2025-04-10T00:00:00"/>
    <x v="3"/>
  </r>
  <r>
    <s v="MANUNTECAO"/>
    <n v="50"/>
    <x v="1"/>
    <d v="2025-04-10T00:00:00"/>
    <x v="6"/>
  </r>
  <r>
    <s v="ALUGUEL"/>
    <n v="5500"/>
    <x v="1"/>
    <d v="2025-04-10T00:00:00"/>
    <x v="11"/>
  </r>
  <r>
    <s v="MAQUINA USG"/>
    <n v="1500"/>
    <x v="1"/>
    <d v="2025-04-10T00:00:00"/>
    <x v="3"/>
  </r>
  <r>
    <s v="TOP DIAGNOSTICO"/>
    <n v="40"/>
    <x v="1"/>
    <d v="2025-04-10T00:00:00"/>
    <x v="7"/>
  </r>
  <r>
    <s v="DR MARIANA "/>
    <n v="330"/>
    <x v="1"/>
    <d v="2025-04-11T00:00:00"/>
    <x v="3"/>
  </r>
  <r>
    <s v="MATERIAL OTORRINO"/>
    <n v="58"/>
    <x v="1"/>
    <d v="2025-04-11T00:00:00"/>
    <x v="1"/>
  </r>
  <r>
    <s v="ESTORNO"/>
    <n v="160"/>
    <x v="1"/>
    <d v="2025-04-11T00:00:00"/>
    <x v="9"/>
  </r>
  <r>
    <s v="DR RAYANNE"/>
    <n v="300"/>
    <x v="1"/>
    <d v="2025-04-11T00:00:00"/>
    <x v="3"/>
  </r>
  <r>
    <s v="DR MICHELLE"/>
    <n v="720"/>
    <x v="1"/>
    <d v="2025-04-11T00:00:00"/>
    <x v="3"/>
  </r>
  <r>
    <s v="TRAFEGO"/>
    <n v="350"/>
    <x v="1"/>
    <d v="2025-04-11T00:00:00"/>
    <x v="4"/>
  </r>
  <r>
    <s v="DR FRANCISCO"/>
    <n v="75"/>
    <x v="1"/>
    <d v="2025-04-12T00:00:00"/>
    <x v="3"/>
  </r>
  <r>
    <s v="AR CONDICIONADO"/>
    <n v="3608"/>
    <x v="1"/>
    <d v="2025-04-12T00:00:00"/>
    <x v="6"/>
  </r>
  <r>
    <s v="MATERIAL USG"/>
    <n v="257.05"/>
    <x v="1"/>
    <d v="2025-04-14T00:00:00"/>
    <x v="1"/>
  </r>
  <r>
    <s v="MATERIAL USG"/>
    <n v="128.6"/>
    <x v="1"/>
    <d v="2025-04-14T00:00:00"/>
    <x v="1"/>
  </r>
  <r>
    <s v="DR RAYSSA"/>
    <n v="300"/>
    <x v="1"/>
    <d v="2025-04-14T00:00:00"/>
    <x v="3"/>
  </r>
  <r>
    <s v="DR CARLOS"/>
    <n v="300"/>
    <x v="1"/>
    <d v="2025-04-14T00:00:00"/>
    <x v="3"/>
  </r>
  <r>
    <s v="DR MARLLA"/>
    <n v="300"/>
    <x v="1"/>
    <d v="2025-04-14T00:00:00"/>
    <x v="3"/>
  </r>
  <r>
    <s v="TOXICOLOGICO"/>
    <n v="165"/>
    <x v="1"/>
    <d v="2025-04-14T00:00:00"/>
    <x v="7"/>
  </r>
  <r>
    <s v="TROCO"/>
    <n v="30"/>
    <x v="1"/>
    <d v="2025-04-15T00:00:00"/>
    <x v="8"/>
  </r>
  <r>
    <s v="DR DANIELLA"/>
    <n v="375"/>
    <x v="1"/>
    <d v="2025-04-15T00:00:00"/>
    <x v="3"/>
  </r>
  <r>
    <s v="DR MICHELLE"/>
    <n v="485"/>
    <x v="1"/>
    <d v="2025-04-15T00:00:00"/>
    <x v="3"/>
  </r>
  <r>
    <s v="RECISAO BRILHO"/>
    <n v="1264"/>
    <x v="1"/>
    <d v="2025-04-15T00:00:00"/>
    <x v="0"/>
  </r>
  <r>
    <s v="VIGILANTE "/>
    <n v="200"/>
    <x v="1"/>
    <d v="2025-04-16T00:00:00"/>
    <x v="6"/>
  </r>
  <r>
    <s v="DR CAMILLA"/>
    <n v="100"/>
    <x v="1"/>
    <d v="2025-04-16T00:00:00"/>
    <x v="3"/>
  </r>
  <r>
    <s v="MATERIAL"/>
    <n v="309.27999999999997"/>
    <x v="1"/>
    <d v="2025-04-16T00:00:00"/>
    <x v="1"/>
  </r>
  <r>
    <s v="DEVOLUÇÃO"/>
    <n v="100"/>
    <x v="1"/>
    <d v="2025-04-16T00:00:00"/>
    <x v="9"/>
  </r>
  <r>
    <s v="AGUA"/>
    <n v="15"/>
    <x v="1"/>
    <d v="2025-04-16T00:00:00"/>
    <x v="6"/>
  </r>
  <r>
    <s v="DR RAFAEL"/>
    <n v="300"/>
    <x v="1"/>
    <d v="2025-04-16T00:00:00"/>
    <x v="3"/>
  </r>
  <r>
    <s v="RAQUEL"/>
    <n v="288.7"/>
    <x v="1"/>
    <d v="2025-04-17T00:00:00"/>
    <x v="0"/>
  </r>
  <r>
    <s v="RAQUEL"/>
    <n v="183.2"/>
    <x v="1"/>
    <d v="2025-04-17T00:00:00"/>
    <x v="0"/>
  </r>
  <r>
    <s v="CONTADOR"/>
    <n v="600"/>
    <x v="1"/>
    <d v="2025-04-17T00:00:00"/>
    <x v="12"/>
  </r>
  <r>
    <s v="LP PAULISTA"/>
    <n v="150"/>
    <x v="1"/>
    <d v="2025-04-17T00:00:00"/>
    <x v="7"/>
  </r>
  <r>
    <s v="MATERIAL LIMPEZA"/>
    <n v="180"/>
    <x v="1"/>
    <d v="2025-04-19T00:00:00"/>
    <x v="1"/>
  </r>
  <r>
    <s v="MATERIAL CARDIO"/>
    <n v="100"/>
    <x v="1"/>
    <d v="2025-04-22T00:00:00"/>
    <x v="1"/>
  </r>
  <r>
    <s v="DR MICHELLE"/>
    <n v="360"/>
    <x v="1"/>
    <d v="2025-04-22T00:00:00"/>
    <x v="3"/>
  </r>
  <r>
    <s v="PAPELARIA"/>
    <n v="58"/>
    <x v="1"/>
    <d v="2025-04-23T00:00:00"/>
    <x v="1"/>
  </r>
  <r>
    <s v="FRETE PAPELARIA"/>
    <n v="7"/>
    <x v="1"/>
    <d v="2025-04-23T00:00:00"/>
    <x v="1"/>
  </r>
  <r>
    <s v="ARTE"/>
    <n v="5"/>
    <x v="1"/>
    <d v="2025-04-23T00:00:00"/>
    <x v="6"/>
  </r>
  <r>
    <s v="Dr Andre"/>
    <n v="420"/>
    <x v="1"/>
    <d v="2025-04-23T00:00:00"/>
    <x v="3"/>
  </r>
  <r>
    <s v="DR CRISTIANE"/>
    <n v="300"/>
    <x v="1"/>
    <d v="2025-04-23T00:00:00"/>
    <x v="3"/>
  </r>
  <r>
    <s v="VICTORIA"/>
    <n v="65"/>
    <x v="1"/>
    <d v="2025-04-23T00:00:00"/>
    <x v="4"/>
  </r>
  <r>
    <s v="INTERNET "/>
    <n v="170"/>
    <x v="1"/>
    <d v="2025-04-23T00:00:00"/>
    <x v="13"/>
  </r>
  <r>
    <s v="LP PAULISTA"/>
    <n v="100"/>
    <x v="1"/>
    <d v="2025-04-23T00:00:00"/>
    <x v="7"/>
  </r>
  <r>
    <s v="TOXICOLOGICO"/>
    <n v="275"/>
    <x v="1"/>
    <d v="2025-04-23T00:00:00"/>
    <x v="7"/>
  </r>
  <r>
    <s v="ASO RAQUEL"/>
    <n v="40"/>
    <x v="1"/>
    <d v="2025-04-24T00:00:00"/>
    <x v="0"/>
  </r>
  <r>
    <s v="FGTS CRIS"/>
    <n v="7.8"/>
    <x v="1"/>
    <d v="2025-04-24T00:00:00"/>
    <x v="0"/>
  </r>
  <r>
    <s v="FGTS CRIS"/>
    <n v="216.58"/>
    <x v="1"/>
    <d v="2025-04-24T00:00:00"/>
    <x v="0"/>
  </r>
  <r>
    <s v="ASO RAQUEL"/>
    <n v="11.6"/>
    <x v="1"/>
    <d v="2025-04-24T00:00:00"/>
    <x v="0"/>
  </r>
  <r>
    <s v="RECISAO CRIS"/>
    <n v="2056.71"/>
    <x v="1"/>
    <d v="2025-04-24T00:00:00"/>
    <x v="0"/>
  </r>
  <r>
    <s v="TOP DIAGNOSTICO"/>
    <n v="40"/>
    <x v="1"/>
    <d v="2025-04-24T00:00:00"/>
    <x v="7"/>
  </r>
  <r>
    <s v="TROCO"/>
    <n v="70"/>
    <x v="1"/>
    <d v="2025-04-25T00:00:00"/>
    <x v="8"/>
  </r>
  <r>
    <s v="MATERIAL OTORRINO"/>
    <n v="220"/>
    <x v="1"/>
    <d v="2025-04-25T00:00:00"/>
    <x v="1"/>
  </r>
  <r>
    <s v="TRAFEGO"/>
    <n v="500"/>
    <x v="1"/>
    <d v="2025-04-25T00:00:00"/>
    <x v="4"/>
  </r>
  <r>
    <s v="TEC COLETA"/>
    <n v="50"/>
    <x v="1"/>
    <d v="2025-04-28T00:00:00"/>
    <x v="3"/>
  </r>
  <r>
    <s v="DR MARLLA"/>
    <n v="609.9"/>
    <x v="1"/>
    <d v="2025-04-28T00:00:00"/>
    <x v="3"/>
  </r>
  <r>
    <s v="CONSORCIO BRADESCO"/>
    <n v="750"/>
    <x v="1"/>
    <d v="2025-04-29T00:00:00"/>
    <x v="14"/>
  </r>
  <r>
    <s v="DR DANIELLA"/>
    <n v="435"/>
    <x v="1"/>
    <d v="2025-04-29T00:00:00"/>
    <x v="3"/>
  </r>
  <r>
    <s v="DR MICHELLE"/>
    <n v="840"/>
    <x v="1"/>
    <d v="2025-04-29T00:00:00"/>
    <x v="3"/>
  </r>
  <r>
    <s v="TOP DIAGNOSTICO"/>
    <n v="180"/>
    <x v="1"/>
    <d v="2025-04-29T00:00:00"/>
    <x v="7"/>
  </r>
  <r>
    <s v="TOXICOLOGICO"/>
    <n v="165"/>
    <x v="1"/>
    <d v="2025-04-29T00:00:00"/>
    <x v="7"/>
  </r>
  <r>
    <s v="BOLO"/>
    <n v="56"/>
    <x v="1"/>
    <d v="2025-04-30T00:00:00"/>
    <x v="6"/>
  </r>
  <r>
    <s v="TRAFEGO"/>
    <n v="1521"/>
    <x v="1"/>
    <d v="2025-04-30T00:00:00"/>
    <x v="4"/>
  </r>
  <r>
    <s v="TROCO"/>
    <n v="20"/>
    <x v="2"/>
    <d v="2025-05-01T00:00:00"/>
    <x v="8"/>
  </r>
  <r>
    <s v="ÁGUA"/>
    <n v="15"/>
    <x v="2"/>
    <d v="2025-05-01T00:00:00"/>
    <x v="6"/>
  </r>
  <r>
    <s v="DR SUYENE"/>
    <n v="940"/>
    <x v="2"/>
    <d v="2025-05-01T00:00:00"/>
    <x v="3"/>
  </r>
  <r>
    <s v="MERCADO"/>
    <n v="50"/>
    <x v="2"/>
    <d v="2025-05-01T00:00:00"/>
    <x v="6"/>
  </r>
  <r>
    <s v="TAPETE"/>
    <n v="572"/>
    <x v="2"/>
    <d v="2025-05-02T00:00:00"/>
    <x v="6"/>
  </r>
  <r>
    <s v="DR EDSON"/>
    <n v="300"/>
    <x v="2"/>
    <d v="2025-05-02T00:00:00"/>
    <x v="3"/>
  </r>
  <r>
    <s v="DR RAYANNE"/>
    <n v="430"/>
    <x v="2"/>
    <d v="2025-05-02T00:00:00"/>
    <x v="3"/>
  </r>
  <r>
    <s v="DIA DAS MAES"/>
    <n v="91.5"/>
    <x v="2"/>
    <d v="2025-05-02T00:00:00"/>
    <x v="4"/>
  </r>
  <r>
    <s v="SALARIO BIA"/>
    <n v="1180"/>
    <x v="2"/>
    <d v="2025-05-02T00:00:00"/>
    <x v="0"/>
  </r>
  <r>
    <s v="SALARIO PATRICIA"/>
    <n v="2000"/>
    <x v="2"/>
    <d v="2025-05-02T00:00:00"/>
    <x v="0"/>
  </r>
  <r>
    <s v="SALARIO BIA"/>
    <n v="1320"/>
    <x v="2"/>
    <d v="2025-05-02T00:00:00"/>
    <x v="0"/>
  </r>
  <r>
    <s v="TRAFEGO"/>
    <n v="644"/>
    <x v="2"/>
    <d v="2025-05-02T00:00:00"/>
    <x v="4"/>
  </r>
  <r>
    <s v="TOP DIAGNOSTICO"/>
    <n v="280"/>
    <x v="2"/>
    <d v="2025-05-02T00:00:00"/>
    <x v="7"/>
  </r>
  <r>
    <s v="GRADE"/>
    <n v="110"/>
    <x v="2"/>
    <d v="2025-05-03T00:00:00"/>
    <x v="6"/>
  </r>
  <r>
    <s v="FAXINA"/>
    <n v="205"/>
    <x v="2"/>
    <d v="2025-05-03T00:00:00"/>
    <x v="15"/>
  </r>
  <r>
    <s v="DR LYVIA"/>
    <n v="50"/>
    <x v="2"/>
    <d v="2025-05-03T00:00:00"/>
    <x v="3"/>
  </r>
  <r>
    <s v="DR CAMILLA"/>
    <n v="200"/>
    <x v="2"/>
    <d v="2025-05-03T00:00:00"/>
    <x v="3"/>
  </r>
  <r>
    <s v="PANFLETAGEM"/>
    <n v="200"/>
    <x v="2"/>
    <d v="2025-05-03T00:00:00"/>
    <x v="4"/>
  </r>
  <r>
    <s v="SALARIO RAQUEL"/>
    <n v="350"/>
    <x v="2"/>
    <d v="2025-05-05T00:00:00"/>
    <x v="0"/>
  </r>
  <r>
    <s v="VT RAQUEL"/>
    <n v="231.38"/>
    <x v="2"/>
    <d v="2025-05-05T00:00:00"/>
    <x v="0"/>
  </r>
  <r>
    <s v="DR FABIO"/>
    <n v="2512.5"/>
    <x v="2"/>
    <d v="2025-05-05T00:00:00"/>
    <x v="3"/>
  </r>
  <r>
    <s v="TOP DIAGNOSTICO"/>
    <n v="200"/>
    <x v="2"/>
    <d v="2025-05-05T00:00:00"/>
    <x v="7"/>
  </r>
  <r>
    <s v="TROCO"/>
    <n v="5"/>
    <x v="2"/>
    <d v="2025-05-06T00:00:00"/>
    <x v="8"/>
  </r>
  <r>
    <s v="CADEIRA COLETA"/>
    <n v="668.5"/>
    <x v="2"/>
    <d v="2025-05-06T00:00:00"/>
    <x v="1"/>
  </r>
  <r>
    <s v="DR SUYENE"/>
    <n v="675"/>
    <x v="2"/>
    <d v="2025-05-06T00:00:00"/>
    <x v="3"/>
  </r>
  <r>
    <s v="DR MARIANA"/>
    <n v="300"/>
    <x v="2"/>
    <d v="2025-05-06T00:00:00"/>
    <x v="3"/>
  </r>
  <r>
    <s v="DR MARLLA"/>
    <n v="650"/>
    <x v="2"/>
    <d v="2025-05-06T00:00:00"/>
    <x v="3"/>
  </r>
  <r>
    <s v="MÁQUINA USG"/>
    <n v="1500"/>
    <x v="2"/>
    <d v="2025-05-07T00:00:00"/>
    <x v="3"/>
  </r>
  <r>
    <s v="Dr Andre"/>
    <n v="840"/>
    <x v="2"/>
    <d v="2025-05-07T00:00:00"/>
    <x v="3"/>
  </r>
  <r>
    <s v="PANFLETAGEM"/>
    <n v="172.5"/>
    <x v="2"/>
    <d v="2025-05-07T00:00:00"/>
    <x v="4"/>
  </r>
  <r>
    <s v="DR ALINE"/>
    <n v="100"/>
    <x v="2"/>
    <d v="2025-05-08T00:00:00"/>
    <x v="3"/>
  </r>
  <r>
    <s v="DR LARA"/>
    <n v="450"/>
    <x v="2"/>
    <d v="2025-05-08T00:00:00"/>
    <x v="3"/>
  </r>
  <r>
    <s v="PREV IMAGEM"/>
    <n v="350"/>
    <x v="2"/>
    <d v="2025-05-08T00:00:00"/>
    <x v="7"/>
  </r>
  <r>
    <s v="TOXICOLOGICO"/>
    <n v="320"/>
    <x v="2"/>
    <d v="2025-05-08T00:00:00"/>
    <x v="7"/>
  </r>
  <r>
    <s v="AGUA"/>
    <n v="117.93"/>
    <x v="2"/>
    <d v="2025-05-09T00:00:00"/>
    <x v="6"/>
  </r>
  <r>
    <s v="ESTORNO"/>
    <n v="560"/>
    <x v="2"/>
    <d v="2025-05-09T00:00:00"/>
    <x v="9"/>
  </r>
  <r>
    <s v="IMPOSTOS"/>
    <n v="2483.2600000000002"/>
    <x v="2"/>
    <d v="2025-05-09T00:00:00"/>
    <x v="16"/>
  </r>
  <r>
    <s v="DR RAYANNE"/>
    <n v="930"/>
    <x v="2"/>
    <d v="2025-05-09T00:00:00"/>
    <x v="3"/>
  </r>
  <r>
    <s v="TRAFEGO"/>
    <n v="645"/>
    <x v="2"/>
    <d v="2025-05-09T00:00:00"/>
    <x v="4"/>
  </r>
  <r>
    <s v="TOP IMAGEM"/>
    <n v="400"/>
    <x v="2"/>
    <d v="2025-05-09T00:00:00"/>
    <x v="7"/>
  </r>
  <r>
    <s v="DR CAMILLA"/>
    <n v="140"/>
    <x v="2"/>
    <d v="2025-05-10T00:00:00"/>
    <x v="3"/>
  </r>
  <r>
    <s v="DR LYVIA"/>
    <n v="140"/>
    <x v="2"/>
    <d v="2025-05-10T00:00:00"/>
    <x v="3"/>
  </r>
  <r>
    <s v="DR TACIANA"/>
    <n v="920"/>
    <x v="2"/>
    <d v="2025-05-10T00:00:00"/>
    <x v="3"/>
  </r>
  <r>
    <s v="DR LARISSA"/>
    <n v="300"/>
    <x v="2"/>
    <d v="2025-05-10T00:00:00"/>
    <x v="3"/>
  </r>
  <r>
    <s v="TROCO"/>
    <n v="20"/>
    <x v="2"/>
    <d v="2025-05-10T00:00:00"/>
    <x v="8"/>
  </r>
  <r>
    <s v="ESTORNO"/>
    <n v="285"/>
    <x v="2"/>
    <d v="2025-05-12T00:00:00"/>
    <x v="9"/>
  </r>
  <r>
    <s v="Rodrigo Tavares"/>
    <n v="2500"/>
    <x v="2"/>
    <d v="2025-05-12T00:00:00"/>
    <x v="10"/>
  </r>
  <r>
    <s v="TROCO"/>
    <n v="20"/>
    <x v="2"/>
    <d v="2025-05-12T00:00:00"/>
    <x v="8"/>
  </r>
  <r>
    <s v="AGUA"/>
    <n v="20"/>
    <x v="2"/>
    <d v="2025-05-12T00:00:00"/>
    <x v="6"/>
  </r>
  <r>
    <s v="VERISURE"/>
    <n v="378.1"/>
    <x v="2"/>
    <d v="2025-05-12T00:00:00"/>
    <x v="6"/>
  </r>
  <r>
    <s v="TOXICOLOGICO"/>
    <n v="110"/>
    <x v="2"/>
    <d v="2025-05-12T00:00:00"/>
    <x v="7"/>
  </r>
  <r>
    <s v="DR ALINE"/>
    <n v="100"/>
    <x v="2"/>
    <d v="2025-05-13T00:00:00"/>
    <x v="3"/>
  </r>
  <r>
    <s v="DR EDSON"/>
    <n v="300"/>
    <x v="2"/>
    <d v="2025-05-13T00:00:00"/>
    <x v="3"/>
  </r>
  <r>
    <s v="DR DANIELLA"/>
    <n v="850"/>
    <x v="2"/>
    <d v="2025-05-13T00:00:00"/>
    <x v="3"/>
  </r>
  <r>
    <s v="RECEITUARIO"/>
    <n v="240.4"/>
    <x v="2"/>
    <d v="2025-05-14T00:00:00"/>
    <x v="1"/>
  </r>
  <r>
    <s v="FAST IA"/>
    <n v="1200"/>
    <x v="2"/>
    <d v="2025-05-14T00:00:00"/>
    <x v="0"/>
  </r>
  <r>
    <s v="DR NATHALIA"/>
    <n v="680"/>
    <x v="2"/>
    <d v="2025-05-14T00:00:00"/>
    <x v="3"/>
  </r>
  <r>
    <s v="DR RAFAEL"/>
    <n v="540"/>
    <x v="2"/>
    <d v="2025-05-14T00:00:00"/>
    <x v="3"/>
  </r>
  <r>
    <s v="DR MARLLA"/>
    <n v="700"/>
    <x v="2"/>
    <d v="2025-05-14T00:00:00"/>
    <x v="3"/>
  </r>
  <r>
    <s v="OLINDA ORDINARIO"/>
    <n v="2400"/>
    <x v="2"/>
    <d v="2025-05-14T00:00:00"/>
    <x v="4"/>
  </r>
  <r>
    <s v="TOP DIAGNOSTICO"/>
    <n v="40"/>
    <x v="2"/>
    <d v="2025-05-14T00:00:00"/>
    <x v="7"/>
  </r>
  <r>
    <s v="LAB MORAES"/>
    <n v="3742.5"/>
    <x v="2"/>
    <d v="2025-05-15T00:00:00"/>
    <x v="5"/>
  </r>
  <r>
    <s v="GASTROCENTER"/>
    <n v="270"/>
    <x v="2"/>
    <d v="2025-05-16T00:00:00"/>
    <x v="7"/>
  </r>
  <r>
    <s v="DR CAMILLA"/>
    <n v="50"/>
    <x v="2"/>
    <d v="2025-05-16T00:00:00"/>
    <x v="3"/>
  </r>
  <r>
    <s v="DR RAYANNE"/>
    <n v="350"/>
    <x v="2"/>
    <d v="2025-05-16T00:00:00"/>
    <x v="3"/>
  </r>
  <r>
    <s v="SISTEMA"/>
    <n v="1000"/>
    <x v="2"/>
    <d v="2025-05-16T00:00:00"/>
    <x v="17"/>
  </r>
  <r>
    <s v="VIGILANTE "/>
    <n v="200"/>
    <x v="2"/>
    <d v="2025-05-16T00:00:00"/>
    <x v="18"/>
  </r>
  <r>
    <s v="DR TACIANA"/>
    <n v="300"/>
    <x v="2"/>
    <d v="2025-05-18T00:00:00"/>
    <x v="3"/>
  </r>
  <r>
    <s v="FAXINA"/>
    <n v="170"/>
    <x v="2"/>
    <d v="2025-05-18T00:00:00"/>
    <x v="15"/>
  </r>
  <r>
    <s v="ALUGUEL"/>
    <n v="5500"/>
    <x v="2"/>
    <d v="2025-05-18T00:00:00"/>
    <x v="11"/>
  </r>
  <r>
    <s v="TROCO"/>
    <n v="1.1000000000000001"/>
    <x v="2"/>
    <d v="2025-05-19T00:00:00"/>
    <x v="8"/>
  </r>
  <r>
    <s v="Dr Raissa"/>
    <n v="1250"/>
    <x v="2"/>
    <d v="2025-05-19T00:00:00"/>
    <x v="3"/>
  </r>
  <r>
    <s v="SEGURO LOJA"/>
    <n v="650"/>
    <x v="2"/>
    <d v="2025-05-19T00:00:00"/>
    <x v="19"/>
  </r>
  <r>
    <s v="PRONAMPI"/>
    <n v="5000"/>
    <x v="2"/>
    <d v="2025-05-19T00:00:00"/>
    <x v="20"/>
  </r>
  <r>
    <s v="CONSORCIO BRADESCO"/>
    <n v="1500"/>
    <x v="2"/>
    <d v="2025-05-19T00:00:00"/>
    <x v="14"/>
  </r>
  <r>
    <s v="TOP DIAGNOSTICO"/>
    <n v="40"/>
    <x v="2"/>
    <d v="2025-05-19T00:00:00"/>
    <x v="7"/>
  </r>
  <r>
    <s v="TOXICOLOGICO"/>
    <n v="110"/>
    <x v="2"/>
    <d v="2025-05-19T00:00:00"/>
    <x v="7"/>
  </r>
  <r>
    <s v="ESPECULOS"/>
    <n v="75"/>
    <x v="2"/>
    <d v="2025-05-20T00:00:00"/>
    <x v="7"/>
  </r>
  <r>
    <s v="IMPOSTOS"/>
    <n v="219.17"/>
    <x v="2"/>
    <d v="2025-05-20T00:00:00"/>
    <x v="16"/>
  </r>
  <r>
    <s v="DR MARLLA"/>
    <n v="860"/>
    <x v="2"/>
    <d v="2025-05-20T00:00:00"/>
    <x v="3"/>
  </r>
  <r>
    <s v="DR SUYENE"/>
    <n v="1065"/>
    <x v="2"/>
    <d v="2025-05-20T00:00:00"/>
    <x v="3"/>
  </r>
  <r>
    <s v="PREV IMAGEM"/>
    <n v="350"/>
    <x v="2"/>
    <d v="2025-05-20T00:00:00"/>
    <x v="7"/>
  </r>
  <r>
    <s v="PREV IMAGEM"/>
    <n v="75"/>
    <x v="2"/>
    <d v="2025-05-20T00:00:00"/>
    <x v="7"/>
  </r>
  <r>
    <s v="MEDICAL"/>
    <n v="212"/>
    <x v="2"/>
    <d v="2025-05-21T00:00:00"/>
    <x v="1"/>
  </r>
  <r>
    <s v="DR ANDRE"/>
    <n v="1200"/>
    <x v="2"/>
    <d v="2025-05-21T00:00:00"/>
    <x v="3"/>
  </r>
  <r>
    <s v="DR ALINE"/>
    <n v="100"/>
    <x v="2"/>
    <d v="2025-05-21T00:00:00"/>
    <x v="3"/>
  </r>
  <r>
    <s v="INTERNET "/>
    <n v="170"/>
    <x v="2"/>
    <d v="2025-05-21T00:00:00"/>
    <x v="13"/>
  </r>
  <r>
    <s v="TROCO"/>
    <n v="71.75"/>
    <x v="2"/>
    <d v="2025-05-22T00:00:00"/>
    <x v="8"/>
  </r>
  <r>
    <s v="ESTORNO"/>
    <n v="5.5"/>
    <x v="2"/>
    <d v="2025-05-22T00:00:00"/>
    <x v="9"/>
  </r>
  <r>
    <s v="CONSORCIO BRADESCO"/>
    <n v="700"/>
    <x v="2"/>
    <d v="2025-05-22T00:00:00"/>
    <x v="14"/>
  </r>
  <r>
    <s v="DR THIAGO"/>
    <n v="1270"/>
    <x v="2"/>
    <d v="2025-05-23T00:00:00"/>
    <x v="3"/>
  </r>
  <r>
    <s v="AGUA"/>
    <n v="15"/>
    <x v="2"/>
    <d v="2025-05-23T00:00:00"/>
    <x v="6"/>
  </r>
  <r>
    <s v="BOLO"/>
    <n v="20.6"/>
    <x v="2"/>
    <d v="2025-05-23T00:00:00"/>
    <x v="6"/>
  </r>
  <r>
    <s v="TRAFEGO"/>
    <n v="650"/>
    <x v="2"/>
    <d v="2025-05-23T00:00:00"/>
    <x v="4"/>
  </r>
  <r>
    <s v="PREV IMAGEM"/>
    <n v="70"/>
    <x v="2"/>
    <d v="2025-05-23T00:00:00"/>
    <x v="7"/>
  </r>
  <r>
    <s v="DR CAMILLA"/>
    <n v="130"/>
    <x v="2"/>
    <d v="2025-05-24T00:00:00"/>
    <x v="3"/>
  </r>
  <r>
    <s v="DR TACIANA"/>
    <n v="960"/>
    <x v="2"/>
    <d v="2025-05-24T00:00:00"/>
    <x v="3"/>
  </r>
  <r>
    <s v="FAXINA"/>
    <n v="170"/>
    <x v="2"/>
    <d v="2025-05-24T00:00:00"/>
    <x v="15"/>
  </r>
  <r>
    <s v="PAPELARIA"/>
    <n v="80"/>
    <x v="2"/>
    <d v="2025-05-25T00:00:00"/>
    <x v="1"/>
  </r>
  <r>
    <s v="PANFLETAGEM"/>
    <n v="1040"/>
    <x v="2"/>
    <d v="2025-05-25T00:00:00"/>
    <x v="4"/>
  </r>
  <r>
    <s v="TROCO"/>
    <n v="20"/>
    <x v="2"/>
    <d v="2025-05-26T00:00:00"/>
    <x v="8"/>
  </r>
  <r>
    <s v="CONTADOR"/>
    <n v="600"/>
    <x v="2"/>
    <d v="2025-05-26T00:00:00"/>
    <x v="12"/>
  </r>
  <r>
    <s v="TROCO"/>
    <n v="16"/>
    <x v="2"/>
    <d v="2025-05-26T00:00:00"/>
    <x v="8"/>
  </r>
  <r>
    <s v="LUVA"/>
    <n v="200"/>
    <x v="2"/>
    <d v="2025-05-26T00:00:00"/>
    <x v="1"/>
  </r>
  <r>
    <s v="ESTORNO"/>
    <n v="130"/>
    <x v="2"/>
    <d v="2025-05-26T00:00:00"/>
    <x v="9"/>
  </r>
  <r>
    <s v="MOVEL"/>
    <n v="350"/>
    <x v="2"/>
    <d v="2025-05-26T00:00:00"/>
    <x v="6"/>
  </r>
  <r>
    <s v="TRAFEGO"/>
    <n v="1520"/>
    <x v="2"/>
    <d v="2025-05-26T00:00:00"/>
    <x v="4"/>
  </r>
  <r>
    <s v="ESTORNO"/>
    <n v="5.5"/>
    <x v="2"/>
    <d v="2025-05-27T00:00:00"/>
    <x v="9"/>
  </r>
  <r>
    <s v="DR ALINE"/>
    <n v="100"/>
    <x v="2"/>
    <d v="2025-05-27T00:00:00"/>
    <x v="3"/>
  </r>
  <r>
    <s v="DR DANIELLA"/>
    <n v="450"/>
    <x v="2"/>
    <d v="2025-05-27T00:00:00"/>
    <x v="3"/>
  </r>
  <r>
    <s v="PANFLETO "/>
    <n v="289"/>
    <x v="2"/>
    <d v="2025-05-27T00:00:00"/>
    <x v="4"/>
  </r>
  <r>
    <s v="SÃO JOAO"/>
    <n v="150"/>
    <x v="2"/>
    <d v="2025-05-27T00:00:00"/>
    <x v="4"/>
  </r>
  <r>
    <s v="TROCO"/>
    <n v="60"/>
    <x v="2"/>
    <d v="2025-05-28T00:00:00"/>
    <x v="8"/>
  </r>
  <r>
    <s v="BOLO"/>
    <n v="30"/>
    <x v="2"/>
    <d v="2025-05-28T00:00:00"/>
    <x v="6"/>
  </r>
  <r>
    <s v="DR MARLLA"/>
    <n v="620"/>
    <x v="2"/>
    <d v="2025-05-29T00:00:00"/>
    <x v="3"/>
  </r>
  <r>
    <s v="DR NATHALIA"/>
    <n v="865"/>
    <x v="2"/>
    <d v="2025-05-29T00:00:00"/>
    <x v="3"/>
  </r>
  <r>
    <s v="ESTORNO"/>
    <n v="175"/>
    <x v="2"/>
    <d v="2025-05-29T00:00:00"/>
    <x v="9"/>
  </r>
  <r>
    <s v="DR RAFAEL"/>
    <n v="300"/>
    <x v="2"/>
    <d v="2025-05-29T00:00:00"/>
    <x v="3"/>
  </r>
  <r>
    <s v="DR FABIO"/>
    <n v="1600"/>
    <x v="2"/>
    <d v="2025-05-29T00:00:00"/>
    <x v="6"/>
  </r>
  <r>
    <s v="TOP IMAGEM"/>
    <n v="80"/>
    <x v="2"/>
    <d v="2025-05-29T00:00:00"/>
    <x v="7"/>
  </r>
  <r>
    <s v="TOP IMAGEM"/>
    <n v="40"/>
    <x v="2"/>
    <d v="2025-05-29T00:00:00"/>
    <x v="7"/>
  </r>
  <r>
    <s v="DR FERNANDO"/>
    <n v="420"/>
    <x v="2"/>
    <d v="2025-05-30T00:00:00"/>
    <x v="3"/>
  </r>
  <r>
    <s v="TROCO"/>
    <n v="10"/>
    <x v="2"/>
    <d v="2025-05-30T00:00:00"/>
    <x v="8"/>
  </r>
  <r>
    <s v="DR TIAGO"/>
    <n v="360"/>
    <x v="2"/>
    <d v="2025-05-30T00:00:00"/>
    <x v="3"/>
  </r>
  <r>
    <s v="SÃO JOAO"/>
    <n v="100"/>
    <x v="2"/>
    <d v="2025-05-30T00:00:00"/>
    <x v="4"/>
  </r>
  <r>
    <s v="TRAFEGO"/>
    <n v="645"/>
    <x v="2"/>
    <d v="2025-05-30T00:00:00"/>
    <x v="4"/>
  </r>
  <r>
    <s v="TOP IMAGEM"/>
    <n v="40"/>
    <x v="2"/>
    <d v="2025-05-30T00:00:00"/>
    <x v="7"/>
  </r>
  <r>
    <s v="DETETIZACAO "/>
    <n v="150"/>
    <x v="2"/>
    <d v="2025-05-31T00:00:00"/>
    <x v="6"/>
  </r>
  <r>
    <s v="DR TACIANA"/>
    <n v="845"/>
    <x v="2"/>
    <d v="2025-05-31T00:00:00"/>
    <x v="3"/>
  </r>
  <r>
    <s v="FAXINA"/>
    <n v="170"/>
    <x v="2"/>
    <d v="2025-05-31T00:00:00"/>
    <x v="15"/>
  </r>
  <r>
    <s v="PANFLETAGEM"/>
    <n v="170"/>
    <x v="2"/>
    <d v="2025-05-31T00:00:00"/>
    <x v="4"/>
  </r>
  <r>
    <s v="TOP IMAGEM"/>
    <n v="160"/>
    <x v="2"/>
    <d v="2025-05-31T00:00:00"/>
    <x v="7"/>
  </r>
  <r>
    <s v="SALARIO BIA"/>
    <n v="4000"/>
    <x v="3"/>
    <d v="2025-06-01T00:00:00"/>
    <x v="0"/>
  </r>
  <r>
    <s v="SALARIO PATRICIA"/>
    <n v="2000"/>
    <x v="3"/>
    <d v="2025-06-01T00:00:00"/>
    <x v="0"/>
  </r>
  <r>
    <s v="SALARIO RAQUEL"/>
    <n v="1930"/>
    <x v="3"/>
    <d v="2025-06-02T00:00:00"/>
    <x v="0"/>
  </r>
  <r>
    <s v="SOUD"/>
    <n v="2700"/>
    <x v="3"/>
    <d v="2025-06-02T00:00:00"/>
    <x v="6"/>
  </r>
  <r>
    <s v="ALUGUEL"/>
    <n v="5500"/>
    <x v="3"/>
    <d v="2025-06-02T00:00:00"/>
    <x v="11"/>
  </r>
  <r>
    <s v="DR CAMILLA"/>
    <n v="120"/>
    <x v="3"/>
    <d v="2025-06-02T00:00:00"/>
    <x v="3"/>
  </r>
  <r>
    <s v="TOP"/>
    <n v="40"/>
    <x v="3"/>
    <d v="2025-06-02T00:00:00"/>
    <x v="7"/>
  </r>
  <r>
    <s v="TOXICOLOGICO"/>
    <n v="165"/>
    <x v="3"/>
    <d v="2025-06-02T00:00:00"/>
    <x v="7"/>
  </r>
  <r>
    <s v="CARDIOCENTRO"/>
    <n v="2070"/>
    <x v="3"/>
    <d v="2025-06-02T00:00:00"/>
    <x v="7"/>
  </r>
  <r>
    <s v="PILHA MAPA"/>
    <n v="9.5"/>
    <x v="3"/>
    <d v="2025-06-03T00:00:00"/>
    <x v="1"/>
  </r>
  <r>
    <s v="DR MARTA"/>
    <n v="400"/>
    <x v="3"/>
    <d v="2025-06-03T00:00:00"/>
    <x v="3"/>
  </r>
  <r>
    <s v="DR ALLANA "/>
    <n v="575"/>
    <x v="3"/>
    <d v="2025-06-03T00:00:00"/>
    <x v="3"/>
  </r>
  <r>
    <s v="DR SUYENE"/>
    <n v="690"/>
    <x v="3"/>
    <d v="2025-06-03T00:00:00"/>
    <x v="3"/>
  </r>
  <r>
    <s v="TOP IMAGEM"/>
    <n v="280"/>
    <x v="3"/>
    <d v="2025-06-03T00:00:00"/>
    <x v="7"/>
  </r>
  <r>
    <s v="TROCO"/>
    <n v="15"/>
    <x v="3"/>
    <d v="2025-06-04T00:00:00"/>
    <x v="8"/>
  </r>
  <r>
    <s v="DR NATHALIA"/>
    <n v="1095"/>
    <x v="3"/>
    <d v="2025-06-04T00:00:00"/>
    <x v="3"/>
  </r>
  <r>
    <s v="BOLO"/>
    <n v="15"/>
    <x v="3"/>
    <d v="2025-06-04T00:00:00"/>
    <x v="6"/>
  </r>
  <r>
    <s v="ENERGIA"/>
    <n v="190"/>
    <x v="3"/>
    <d v="2025-06-04T00:00:00"/>
    <x v="21"/>
  </r>
  <r>
    <s v="ESTORNO"/>
    <n v="130"/>
    <x v="3"/>
    <d v="2025-06-04T00:00:00"/>
    <x v="9"/>
  </r>
  <r>
    <s v="VR RAQUEL"/>
    <n v="389.5"/>
    <x v="3"/>
    <d v="2025-06-04T00:00:00"/>
    <x v="0"/>
  </r>
  <r>
    <s v="TOXICOLOGICO"/>
    <n v="135"/>
    <x v="3"/>
    <d v="2025-06-04T00:00:00"/>
    <x v="7"/>
  </r>
  <r>
    <s v="PILHA MAPA"/>
    <n v="114"/>
    <x v="3"/>
    <d v="2025-06-05T00:00:00"/>
    <x v="1"/>
  </r>
  <r>
    <s v="TROCO"/>
    <n v="12"/>
    <x v="3"/>
    <d v="2025-06-05T00:00:00"/>
    <x v="8"/>
  </r>
  <r>
    <s v="SEGURO ESTAGIARIA"/>
    <n v="50"/>
    <x v="3"/>
    <d v="2025-06-05T00:00:00"/>
    <x v="0"/>
  </r>
  <r>
    <s v="ESTORNO"/>
    <n v="35"/>
    <x v="3"/>
    <d v="2025-06-05T00:00:00"/>
    <x v="9"/>
  </r>
  <r>
    <s v="VT ESTAGIARIA"/>
    <n v="149"/>
    <x v="3"/>
    <d v="2025-06-05T00:00:00"/>
    <x v="0"/>
  </r>
  <r>
    <s v="TOP IMAGEM"/>
    <n v="500"/>
    <x v="3"/>
    <d v="2025-06-05T00:00:00"/>
    <x v="7"/>
  </r>
  <r>
    <s v="TOP IMAGEM"/>
    <n v="40"/>
    <x v="3"/>
    <d v="2025-06-05T00:00:00"/>
    <x v="7"/>
  </r>
  <r>
    <s v="MÁQUINA USG"/>
    <n v="1500"/>
    <x v="3"/>
    <d v="2025-06-06T00:00:00"/>
    <x v="3"/>
  </r>
  <r>
    <s v="TROCO"/>
    <n v="25"/>
    <x v="3"/>
    <d v="2025-06-06T00:00:00"/>
    <x v="8"/>
  </r>
  <r>
    <s v="DR RAYANNE"/>
    <n v="1244"/>
    <x v="3"/>
    <d v="2025-06-06T00:00:00"/>
    <x v="3"/>
  </r>
  <r>
    <s v="UBER"/>
    <n v="12.5"/>
    <x v="3"/>
    <d v="2025-06-06T00:00:00"/>
    <x v="6"/>
  </r>
  <r>
    <s v="TROCO"/>
    <n v="10"/>
    <x v="3"/>
    <d v="2025-06-06T00:00:00"/>
    <x v="8"/>
  </r>
  <r>
    <s v="TRAFEGO"/>
    <n v="1500"/>
    <x v="3"/>
    <d v="2025-06-06T00:00:00"/>
    <x v="4"/>
  </r>
  <r>
    <s v="CONTADOR"/>
    <n v="600"/>
    <x v="3"/>
    <d v="2025-06-07T00:00:00"/>
    <x v="12"/>
  </r>
  <r>
    <s v="PINCA"/>
    <n v="220"/>
    <x v="3"/>
    <d v="2025-06-07T00:00:00"/>
    <x v="1"/>
  </r>
  <r>
    <s v="TROCO"/>
    <n v="16"/>
    <x v="3"/>
    <d v="2025-06-07T00:00:00"/>
    <x v="8"/>
  </r>
  <r>
    <s v="FAXINA"/>
    <n v="170"/>
    <x v="3"/>
    <d v="2025-06-07T00:00:00"/>
    <x v="15"/>
  </r>
  <r>
    <s v="ESTORNO"/>
    <n v="150"/>
    <x v="3"/>
    <d v="2025-06-07T00:00:00"/>
    <x v="9"/>
  </r>
  <r>
    <s v="DR CAMILLA"/>
    <n v="130"/>
    <x v="3"/>
    <d v="2025-06-07T00:00:00"/>
    <x v="3"/>
  </r>
  <r>
    <s v="INFLUENCER"/>
    <n v="4000"/>
    <x v="3"/>
    <d v="2025-06-09T00:00:00"/>
    <x v="4"/>
  </r>
  <r>
    <s v="CHUPETA"/>
    <n v="215.4"/>
    <x v="3"/>
    <d v="2025-06-09T00:00:00"/>
    <x v="1"/>
  </r>
  <r>
    <s v="XYLOCAINA"/>
    <n v="18"/>
    <x v="3"/>
    <d v="2025-06-09T00:00:00"/>
    <x v="1"/>
  </r>
  <r>
    <s v="DR ELVIO"/>
    <n v="100"/>
    <x v="3"/>
    <d v="2025-06-09T00:00:00"/>
    <x v="3"/>
  </r>
  <r>
    <s v="TROCO"/>
    <n v="10"/>
    <x v="3"/>
    <d v="2025-06-09T00:00:00"/>
    <x v="8"/>
  </r>
  <r>
    <s v="TROCO"/>
    <n v="25"/>
    <x v="3"/>
    <d v="2025-06-09T00:00:00"/>
    <x v="8"/>
  </r>
  <r>
    <s v="TROCO"/>
    <n v="3.5"/>
    <x v="3"/>
    <d v="2025-06-09T00:00:00"/>
    <x v="8"/>
  </r>
  <r>
    <s v="PIX"/>
    <n v="7"/>
    <x v="3"/>
    <d v="2025-06-09T00:00:00"/>
    <x v="6"/>
  </r>
  <r>
    <s v="DR LYVIA"/>
    <n v="170"/>
    <x v="3"/>
    <d v="2025-06-09T00:00:00"/>
    <x v="3"/>
  </r>
  <r>
    <s v="DR FABIO"/>
    <n v="1230"/>
    <x v="3"/>
    <d v="2025-06-09T00:00:00"/>
    <x v="3"/>
  </r>
  <r>
    <s v="ATACAREJO DO POVO"/>
    <n v="50"/>
    <x v="3"/>
    <d v="2025-06-09T00:00:00"/>
    <x v="1"/>
  </r>
  <r>
    <s v="TROCO"/>
    <n v="5"/>
    <x v="3"/>
    <d v="2025-06-09T00:00:00"/>
    <x v="8"/>
  </r>
  <r>
    <s v="AGUA"/>
    <n v="15"/>
    <x v="3"/>
    <d v="2025-06-09T00:00:00"/>
    <x v="1"/>
  </r>
  <r>
    <s v="MEDICAL"/>
    <n v="24.5"/>
    <x v="3"/>
    <d v="2025-06-09T00:00:00"/>
    <x v="1"/>
  </r>
  <r>
    <s v="TOXICOLOGICO"/>
    <n v="220"/>
    <x v="3"/>
    <d v="2025-06-09T00:00:00"/>
    <x v="7"/>
  </r>
  <r>
    <s v="RICARDO"/>
    <n v="126"/>
    <x v="3"/>
    <d v="2025-06-09T00:00:00"/>
    <x v="1"/>
  </r>
  <r>
    <s v="GRAFICA"/>
    <n v="5"/>
    <x v="3"/>
    <d v="2025-06-10T00:00:00"/>
    <x v="4"/>
  </r>
  <r>
    <s v="Rodrigo Tavares"/>
    <n v="3765"/>
    <x v="3"/>
    <d v="2025-06-10T00:00:00"/>
    <x v="10"/>
  </r>
  <r>
    <s v="TROCO"/>
    <n v="10"/>
    <x v="3"/>
    <d v="2025-06-10T00:00:00"/>
    <x v="8"/>
  </r>
  <r>
    <s v="LAB MORAES"/>
    <n v="10368.9"/>
    <x v="3"/>
    <d v="2025-06-10T00:00:00"/>
    <x v="5"/>
  </r>
  <r>
    <s v="DR ALINE"/>
    <n v="70"/>
    <x v="3"/>
    <d v="2025-06-10T00:00:00"/>
    <x v="3"/>
  </r>
  <r>
    <s v="CONSORCIO "/>
    <n v="2200"/>
    <x v="3"/>
    <d v="2025-06-10T00:00:00"/>
    <x v="14"/>
  </r>
  <r>
    <s v="DR SUYENE"/>
    <n v="1200"/>
    <x v="3"/>
    <d v="2025-06-10T00:00:00"/>
    <x v="3"/>
  </r>
  <r>
    <s v="DR DANIELLA"/>
    <n v="525"/>
    <x v="3"/>
    <d v="2025-06-10T00:00:00"/>
    <x v="3"/>
  </r>
  <r>
    <s v="OLINDA ORDINARIO"/>
    <n v="80"/>
    <x v="3"/>
    <d v="2025-06-10T00:00:00"/>
    <x v="4"/>
  </r>
  <r>
    <s v="TOP IMAGEM"/>
    <n v="40"/>
    <x v="3"/>
    <d v="2025-06-10T00:00:00"/>
    <x v="7"/>
  </r>
  <r>
    <s v="TOP IMAGEM"/>
    <n v="400"/>
    <x v="3"/>
    <d v="2025-06-10T00:00:00"/>
    <x v="7"/>
  </r>
  <r>
    <s v="TOP IMAGEM"/>
    <n v="190"/>
    <x v="3"/>
    <d v="2025-06-10T00:00:00"/>
    <x v="7"/>
  </r>
  <r>
    <s v="TOP IMAGEM"/>
    <n v="80"/>
    <x v="3"/>
    <d v="2025-06-10T00:00:00"/>
    <x v="7"/>
  </r>
  <r>
    <s v="BOLO"/>
    <n v="40"/>
    <x v="3"/>
    <d v="2025-06-11T00:00:00"/>
    <x v="6"/>
  </r>
  <r>
    <s v="ESTORNO"/>
    <n v="470"/>
    <x v="3"/>
    <d v="2025-06-11T00:00:00"/>
    <x v="9"/>
  </r>
  <r>
    <s v="DR NATHALIA"/>
    <n v="785"/>
    <x v="3"/>
    <d v="2025-06-11T00:00:00"/>
    <x v="3"/>
  </r>
  <r>
    <s v="PIX"/>
    <n v="20"/>
    <x v="3"/>
    <d v="2025-06-11T00:00:00"/>
    <x v="6"/>
  </r>
  <r>
    <s v="DR ANDRE"/>
    <n v="1400"/>
    <x v="3"/>
    <d v="2025-06-11T00:00:00"/>
    <x v="3"/>
  </r>
  <r>
    <s v="ESTORNO"/>
    <n v="470"/>
    <x v="3"/>
    <d v="2025-06-11T00:00:00"/>
    <x v="3"/>
  </r>
  <r>
    <s v="TURBO"/>
    <n v="36"/>
    <x v="3"/>
    <d v="2025-06-11T00:00:00"/>
    <x v="4"/>
  </r>
  <r>
    <s v="TOP IMAGEM"/>
    <n v="190"/>
    <x v="3"/>
    <d v="2025-06-11T00:00:00"/>
    <x v="7"/>
  </r>
  <r>
    <s v="TOP IMAGEM"/>
    <n v="80"/>
    <x v="3"/>
    <d v="2025-06-11T00:00:00"/>
    <x v="7"/>
  </r>
  <r>
    <s v="DR ALLANA "/>
    <n v="345"/>
    <x v="3"/>
    <d v="2025-06-12T00:00:00"/>
    <x v="3"/>
  </r>
  <r>
    <s v="DR RAFAEL "/>
    <n v="560"/>
    <x v="3"/>
    <d v="2025-06-12T00:00:00"/>
    <x v="3"/>
  </r>
  <r>
    <s v="TROCO"/>
    <n v="5"/>
    <x v="3"/>
    <d v="2025-06-12T00:00:00"/>
    <x v="8"/>
  </r>
  <r>
    <s v="FAST IA"/>
    <n v="1500"/>
    <x v="3"/>
    <d v="2025-06-12T00:00:00"/>
    <x v="22"/>
  </r>
  <r>
    <s v="TOP IMAGEM"/>
    <n v="120"/>
    <x v="3"/>
    <d v="2025-06-12T00:00:00"/>
    <x v="7"/>
  </r>
  <r>
    <s v="DR RAYANNE"/>
    <n v="560"/>
    <x v="3"/>
    <d v="2025-06-13T00:00:00"/>
    <x v="3"/>
  </r>
  <r>
    <s v="MATERIAIS"/>
    <n v="256"/>
    <x v="3"/>
    <d v="2025-06-13T00:00:00"/>
    <x v="1"/>
  </r>
  <r>
    <s v="DR ALINE"/>
    <n v="100"/>
    <x v="3"/>
    <d v="2025-06-13T00:00:00"/>
    <x v="3"/>
  </r>
  <r>
    <s v="RODRIGO DISTRIBUIDORA"/>
    <n v="210"/>
    <x v="3"/>
    <d v="2025-06-13T00:00:00"/>
    <x v="1"/>
  </r>
  <r>
    <s v="TRAFEGO"/>
    <n v="645"/>
    <x v="3"/>
    <d v="2025-06-13T00:00:00"/>
    <x v="4"/>
  </r>
  <r>
    <s v="PREV IMAGEM"/>
    <n v="1100"/>
    <x v="3"/>
    <d v="2025-06-13T00:00:00"/>
    <x v="7"/>
  </r>
  <r>
    <s v="DR ELVIO"/>
    <n v="100"/>
    <x v="3"/>
    <d v="2025-06-14T00:00:00"/>
    <x v="3"/>
  </r>
  <r>
    <s v="FAXINA"/>
    <n v="210"/>
    <x v="3"/>
    <d v="2025-06-14T00:00:00"/>
    <x v="15"/>
  </r>
  <r>
    <s v="DR TACIANA"/>
    <n v="950"/>
    <x v="3"/>
    <d v="2025-06-14T00:00:00"/>
    <x v="3"/>
  </r>
  <r>
    <s v="DR CAMILLA"/>
    <n v="80"/>
    <x v="3"/>
    <d v="2025-06-14T00:00:00"/>
    <x v="3"/>
  </r>
  <r>
    <s v="FLAVIA"/>
    <n v="910"/>
    <x v="3"/>
    <d v="2025-06-16T00:00:00"/>
    <x v="7"/>
  </r>
  <r>
    <s v="PRONAMPI "/>
    <n v="5000"/>
    <x v="3"/>
    <d v="2025-06-16T00:00:00"/>
    <x v="20"/>
  </r>
  <r>
    <s v="TROCO"/>
    <n v="168.8"/>
    <x v="3"/>
    <d v="2025-06-16T00:00:00"/>
    <x v="8"/>
  </r>
  <r>
    <s v="AGUA "/>
    <n v="15"/>
    <x v="3"/>
    <d v="2025-06-16T00:00:00"/>
    <x v="1"/>
  </r>
  <r>
    <s v="ESTORNO"/>
    <n v="27"/>
    <x v="3"/>
    <d v="2025-06-16T00:00:00"/>
    <x v="9"/>
  </r>
  <r>
    <s v="CARRO"/>
    <n v="1535"/>
    <x v="3"/>
    <d v="2025-06-16T00:00:00"/>
    <x v="20"/>
  </r>
  <r>
    <s v="FARDA"/>
    <n v="320"/>
    <x v="3"/>
    <d v="2025-06-16T00:00:00"/>
    <x v="0"/>
  </r>
  <r>
    <s v="DR RAISSA"/>
    <n v="750"/>
    <x v="3"/>
    <d v="2025-06-16T00:00:00"/>
    <x v="3"/>
  </r>
  <r>
    <s v="VIGILANTE "/>
    <n v="200"/>
    <x v="3"/>
    <d v="2025-06-16T00:00:00"/>
    <x v="18"/>
  </r>
  <r>
    <s v="SÃO JOAO"/>
    <n v="276"/>
    <x v="3"/>
    <d v="2025-06-16T00:00:00"/>
    <x v="4"/>
  </r>
  <r>
    <s v="TOXICOLOGICO"/>
    <n v="165"/>
    <x v="3"/>
    <d v="2025-06-16T00:00:00"/>
    <x v="7"/>
  </r>
  <r>
    <s v="DR MARLLA"/>
    <n v="765"/>
    <x v="3"/>
    <d v="2025-06-17T00:00:00"/>
    <x v="3"/>
  </r>
  <r>
    <s v="DR MARTA"/>
    <n v="400"/>
    <x v="3"/>
    <d v="2025-06-17T00:00:00"/>
    <x v="3"/>
  </r>
  <r>
    <s v="DR LYVIA"/>
    <n v="50"/>
    <x v="3"/>
    <d v="2025-06-17T00:00:00"/>
    <x v="3"/>
  </r>
  <r>
    <s v="ESTORNO"/>
    <n v="10"/>
    <x v="3"/>
    <d v="2025-06-17T00:00:00"/>
    <x v="9"/>
  </r>
  <r>
    <s v="TOP IMAGEM"/>
    <n v="1050"/>
    <x v="3"/>
    <d v="2025-06-17T00:00:00"/>
    <x v="7"/>
  </r>
  <r>
    <s v="ESTORNO"/>
    <n v="490"/>
    <x v="3"/>
    <d v="2025-06-18T00:00:00"/>
    <x v="9"/>
  </r>
  <r>
    <s v="DR ANDRE"/>
    <n v="900"/>
    <x v="3"/>
    <d v="2025-06-18T00:00:00"/>
    <x v="3"/>
  </r>
  <r>
    <s v="IMPOSTOS"/>
    <n v="313.39999999999998"/>
    <x v="3"/>
    <d v="2025-06-18T00:00:00"/>
    <x v="16"/>
  </r>
  <r>
    <s v="PREV IMAGEM"/>
    <n v="850"/>
    <x v="3"/>
    <d v="2025-06-18T00:00:00"/>
    <x v="7"/>
  </r>
  <r>
    <s v="SACO DE LIXO"/>
    <n v="143.27000000000001"/>
    <x v="3"/>
    <d v="2025-06-19T00:00:00"/>
    <x v="1"/>
  </r>
  <r>
    <s v="MATERIAL OTORRINO"/>
    <n v="250"/>
    <x v="3"/>
    <d v="2025-06-19T00:00:00"/>
    <x v="1"/>
  </r>
  <r>
    <s v="TROCO"/>
    <n v="6.5"/>
    <x v="3"/>
    <d v="2025-06-19T00:00:00"/>
    <x v="8"/>
  </r>
  <r>
    <s v="DR EDSON"/>
    <n v="340"/>
    <x v="3"/>
    <d v="2025-06-19T00:00:00"/>
    <x v="3"/>
  </r>
  <r>
    <s v="ESTORNO"/>
    <n v="20"/>
    <x v="3"/>
    <d v="2025-06-19T00:00:00"/>
    <x v="9"/>
  </r>
  <r>
    <s v="TOLDO"/>
    <n v="400"/>
    <x v="3"/>
    <d v="2025-06-19T00:00:00"/>
    <x v="4"/>
  </r>
  <r>
    <s v="TOP IMAGEM"/>
    <n v="80"/>
    <x v="3"/>
    <d v="2025-06-19T00:00:00"/>
    <x v="7"/>
  </r>
  <r>
    <s v="TOP IMAGEM"/>
    <n v="60"/>
    <x v="3"/>
    <d v="2025-06-19T00:00:00"/>
    <x v="7"/>
  </r>
  <r>
    <s v="MATERIAL OTORRINO"/>
    <n v="432"/>
    <x v="3"/>
    <d v="2025-06-20T00:00:00"/>
    <x v="1"/>
  </r>
  <r>
    <s v="ESTORNO"/>
    <n v="14"/>
    <x v="3"/>
    <d v="2025-06-20T00:00:00"/>
    <x v="9"/>
  </r>
  <r>
    <s v="TROCO"/>
    <n v="3"/>
    <x v="3"/>
    <d v="2025-06-20T00:00:00"/>
    <x v="8"/>
  </r>
  <r>
    <s v="DR THIAGO"/>
    <n v="300"/>
    <x v="3"/>
    <d v="2025-06-20T00:00:00"/>
    <x v="3"/>
  </r>
  <r>
    <s v="DR ALINE"/>
    <n v="210"/>
    <x v="3"/>
    <d v="2025-06-20T00:00:00"/>
    <x v="3"/>
  </r>
  <r>
    <s v="DR RAYANNE"/>
    <n v="920"/>
    <x v="3"/>
    <d v="2025-06-20T00:00:00"/>
    <x v="3"/>
  </r>
  <r>
    <s v="ENERGIA"/>
    <n v="905"/>
    <x v="3"/>
    <d v="2025-06-20T00:00:00"/>
    <x v="21"/>
  </r>
  <r>
    <s v="SÃO JOAO"/>
    <n v="225"/>
    <x v="3"/>
    <d v="2025-06-20T00:00:00"/>
    <x v="4"/>
  </r>
  <r>
    <s v="SÃO JOAO"/>
    <n v="210"/>
    <x v="3"/>
    <d v="2025-06-20T00:00:00"/>
    <x v="4"/>
  </r>
  <r>
    <s v="TRAFEGO"/>
    <n v="645"/>
    <x v="3"/>
    <d v="2025-06-20T00:00:00"/>
    <x v="4"/>
  </r>
  <r>
    <s v="TOP IMAGEM"/>
    <n v="40"/>
    <x v="3"/>
    <d v="2025-06-20T00:00:00"/>
    <x v="7"/>
  </r>
  <r>
    <s v="GASOLINA"/>
    <n v="35.5"/>
    <x v="3"/>
    <d v="2025-06-21T00:00:00"/>
    <x v="4"/>
  </r>
  <r>
    <s v="LOUCUTOR"/>
    <n v="300"/>
    <x v="3"/>
    <d v="2025-06-21T00:00:00"/>
    <x v="4"/>
  </r>
  <r>
    <s v="DR TACIANA"/>
    <n v="875"/>
    <x v="3"/>
    <d v="2025-06-21T00:00:00"/>
    <x v="3"/>
  </r>
  <r>
    <s v="DR DANIELA"/>
    <n v="450"/>
    <x v="3"/>
    <d v="2025-06-21T00:00:00"/>
    <x v="3"/>
  </r>
  <r>
    <s v="TROCO"/>
    <n v="41"/>
    <x v="3"/>
    <d v="2025-06-21T00:00:00"/>
    <x v="8"/>
  </r>
  <r>
    <s v="VIVA"/>
    <n v="220"/>
    <x v="3"/>
    <d v="2025-06-21T00:00:00"/>
    <x v="4"/>
  </r>
  <r>
    <s v="ENDOSCOPIA"/>
    <n v="560"/>
    <x v="3"/>
    <d v="2025-06-25T00:00:00"/>
    <x v="7"/>
  </r>
  <r>
    <s v="FAXINA"/>
    <n v="270"/>
    <x v="3"/>
    <d v="2025-06-25T00:00:00"/>
    <x v="15"/>
  </r>
  <r>
    <s v="TROCO"/>
    <n v="3.25"/>
    <x v="3"/>
    <d v="2025-06-25T00:00:00"/>
    <x v="8"/>
  </r>
  <r>
    <s v="TROCO"/>
    <n v="5.57"/>
    <x v="3"/>
    <d v="2025-06-25T00:00:00"/>
    <x v="8"/>
  </r>
  <r>
    <s v="TROCO"/>
    <n v="5"/>
    <x v="3"/>
    <d v="2025-06-25T00:00:00"/>
    <x v="8"/>
  </r>
  <r>
    <s v="UBER"/>
    <n v="17"/>
    <x v="3"/>
    <d v="2025-06-25T00:00:00"/>
    <x v="6"/>
  </r>
  <r>
    <s v="DR NATHALIA"/>
    <n v="650"/>
    <x v="3"/>
    <d v="2025-06-25T00:00:00"/>
    <x v="3"/>
  </r>
  <r>
    <s v="UBER"/>
    <n v="30"/>
    <x v="3"/>
    <d v="2025-06-25T00:00:00"/>
    <x v="6"/>
  </r>
  <r>
    <s v="ESTORNO"/>
    <n v="68"/>
    <x v="3"/>
    <d v="2025-06-25T00:00:00"/>
    <x v="9"/>
  </r>
  <r>
    <s v="TOP IMAGEM"/>
    <n v="820"/>
    <x v="3"/>
    <d v="2025-06-25T00:00:00"/>
    <x v="7"/>
  </r>
  <r>
    <s v="TOXICOLOGICO"/>
    <n v="550"/>
    <x v="3"/>
    <d v="2025-06-25T00:00:00"/>
    <x v="7"/>
  </r>
  <r>
    <s v="DR CRISTIANE"/>
    <n v="300"/>
    <x v="3"/>
    <d v="2025-06-26T00:00:00"/>
    <x v="3"/>
  </r>
  <r>
    <s v="ESTORNO"/>
    <n v="85"/>
    <x v="3"/>
    <d v="2025-06-26T00:00:00"/>
    <x v="9"/>
  </r>
  <r>
    <s v="DR ODON"/>
    <n v="780"/>
    <x v="3"/>
    <d v="2025-06-26T00:00:00"/>
    <x v="3"/>
  </r>
  <r>
    <s v="AGUA"/>
    <n v="15"/>
    <x v="3"/>
    <d v="2025-06-26T00:00:00"/>
    <x v="1"/>
  </r>
  <r>
    <s v="RECEITUARIO"/>
    <n v="268.8"/>
    <x v="3"/>
    <d v="2025-06-26T00:00:00"/>
    <x v="1"/>
  </r>
  <r>
    <s v="CLARO"/>
    <n v="135"/>
    <x v="3"/>
    <d v="2025-06-26T00:00:00"/>
    <x v="1"/>
  </r>
  <r>
    <s v="SÃO JOAO"/>
    <n v="100"/>
    <x v="3"/>
    <d v="2025-06-26T00:00:00"/>
    <x v="4"/>
  </r>
  <r>
    <s v="TOP IMAGEM"/>
    <n v="80"/>
    <x v="3"/>
    <d v="2025-06-26T00:00:00"/>
    <x v="7"/>
  </r>
  <r>
    <s v="DR RAYANNE"/>
    <n v="460"/>
    <x v="3"/>
    <d v="2025-06-27T00:00:00"/>
    <x v="3"/>
  </r>
  <r>
    <s v="DR ALLANA "/>
    <n v="460"/>
    <x v="3"/>
    <d v="2025-06-27T00:00:00"/>
    <x v="3"/>
  </r>
  <r>
    <s v="SÃO JOAO"/>
    <n v="435"/>
    <x v="3"/>
    <d v="2025-06-27T00:00:00"/>
    <x v="4"/>
  </r>
  <r>
    <s v="TRAFEGO"/>
    <n v="645"/>
    <x v="3"/>
    <d v="2025-06-27T00:00:00"/>
    <x v="4"/>
  </r>
  <r>
    <s v="DR TACIANA"/>
    <n v="830"/>
    <x v="3"/>
    <d v="2025-06-28T00:00:00"/>
    <x v="3"/>
  </r>
  <r>
    <s v="FAXINA"/>
    <n v="270"/>
    <x v="3"/>
    <d v="2025-06-28T00:00:00"/>
    <x v="15"/>
  </r>
  <r>
    <s v="DR CAMILLA"/>
    <n v="40"/>
    <x v="3"/>
    <d v="2025-06-30T00:00:00"/>
    <x v="3"/>
  </r>
  <r>
    <s v="TROCO"/>
    <n v="30"/>
    <x v="3"/>
    <d v="2025-06-30T00:00:00"/>
    <x v="8"/>
  </r>
  <r>
    <s v="DR LIVIA "/>
    <n v="50"/>
    <x v="3"/>
    <d v="2025-06-30T00:00:00"/>
    <x v="3"/>
  </r>
  <r>
    <s v="TROCO"/>
    <n v="30"/>
    <x v="3"/>
    <d v="2025-06-30T00:00:00"/>
    <x v="8"/>
  </r>
  <r>
    <s v="BRASCON"/>
    <n v="154"/>
    <x v="3"/>
    <d v="2025-06-30T00:00:00"/>
    <x v="23"/>
  </r>
  <r>
    <s v="DR RAISSA"/>
    <n v="519.70000000000005"/>
    <x v="3"/>
    <d v="2025-06-30T00:00:00"/>
    <x v="3"/>
  </r>
  <r>
    <s v="IMPOSTOS"/>
    <n v="651.69000000000005"/>
    <x v="3"/>
    <d v="2025-06-30T00:00:00"/>
    <x v="16"/>
  </r>
  <r>
    <s v="DR FABIO"/>
    <n v="660"/>
    <x v="3"/>
    <d v="2025-06-30T00:00:00"/>
    <x v="3"/>
  </r>
  <r>
    <s v="SISTEMA"/>
    <n v="750"/>
    <x v="3"/>
    <d v="2025-06-30T00:00:00"/>
    <x v="17"/>
  </r>
  <r>
    <s v="TOXICOLOGICO"/>
    <n v="330"/>
    <x v="3"/>
    <d v="2025-06-30T00:00:00"/>
    <x v="7"/>
  </r>
  <r>
    <s v="RODRIGO VENDEDOR"/>
    <n v="1500"/>
    <x v="4"/>
    <d v="2025-07-01T00:00:00"/>
    <x v="0"/>
  </r>
  <r>
    <s v="CONSORCIO "/>
    <n v="2200"/>
    <x v="4"/>
    <d v="2025-07-01T00:00:00"/>
    <x v="20"/>
  </r>
  <r>
    <s v="IMPRESSORA"/>
    <n v="295"/>
    <x v="4"/>
    <d v="2025-07-01T00:00:00"/>
    <x v="6"/>
  </r>
  <r>
    <s v="TROCO"/>
    <n v="10"/>
    <x v="4"/>
    <d v="2025-07-01T00:00:00"/>
    <x v="8"/>
  </r>
  <r>
    <s v="PINCAS"/>
    <n v="231.1"/>
    <x v="4"/>
    <d v="2025-07-01T00:00:00"/>
    <x v="1"/>
  </r>
  <r>
    <s v="SALARIO RAQUEL"/>
    <n v="1724"/>
    <x v="4"/>
    <d v="2025-07-01T00:00:00"/>
    <x v="0"/>
  </r>
  <r>
    <s v="SALARIO PATRICIA"/>
    <n v="2000"/>
    <x v="4"/>
    <d v="2025-07-01T00:00:00"/>
    <x v="0"/>
  </r>
  <r>
    <s v="SALARIO BIA"/>
    <n v="4000"/>
    <x v="4"/>
    <d v="2025-07-01T00:00:00"/>
    <x v="0"/>
  </r>
  <r>
    <s v="VT RAQUEL"/>
    <n v="240.21"/>
    <x v="4"/>
    <d v="2025-07-01T00:00:00"/>
    <x v="0"/>
  </r>
  <r>
    <s v="VR RAQUEL"/>
    <n v="471.5"/>
    <x v="4"/>
    <d v="2025-07-01T00:00:00"/>
    <x v="0"/>
  </r>
  <r>
    <s v="ESTAGIO"/>
    <n v="800"/>
    <x v="4"/>
    <d v="2025-07-01T00:00:00"/>
    <x v="0"/>
  </r>
  <r>
    <s v="VT ESTAGIO"/>
    <n v="197.8"/>
    <x v="4"/>
    <d v="2025-07-01T00:00:00"/>
    <x v="0"/>
  </r>
  <r>
    <s v="GEL"/>
    <n v="40"/>
    <x v="4"/>
    <d v="2025-07-01T00:00:00"/>
    <x v="1"/>
  </r>
  <r>
    <s v="DRA DANIELA"/>
    <n v="370"/>
    <x v="4"/>
    <d v="2025-07-01T00:00:00"/>
    <x v="3"/>
  </r>
  <r>
    <s v="DR MARLLA"/>
    <n v="60"/>
    <x v="4"/>
    <d v="2025-07-01T00:00:00"/>
    <x v="3"/>
  </r>
  <r>
    <s v="UBER"/>
    <n v="65"/>
    <x v="4"/>
    <d v="2025-07-01T00:00:00"/>
    <x v="4"/>
  </r>
  <r>
    <s v="INTERNET "/>
    <n v="170"/>
    <x v="4"/>
    <d v="2025-07-02T00:00:00"/>
    <x v="13"/>
  </r>
  <r>
    <s v="IFOOD"/>
    <n v="30"/>
    <x v="4"/>
    <d v="2025-07-02T00:00:00"/>
    <x v="6"/>
  </r>
  <r>
    <s v="TROCO"/>
    <n v="15"/>
    <x v="4"/>
    <d v="2025-07-02T00:00:00"/>
    <x v="8"/>
  </r>
  <r>
    <s v="ESTORNO"/>
    <n v="175"/>
    <x v="4"/>
    <d v="2025-07-02T00:00:00"/>
    <x v="9"/>
  </r>
  <r>
    <s v="DR FERNANDO"/>
    <n v="200"/>
    <x v="4"/>
    <d v="2025-07-02T00:00:00"/>
    <x v="3"/>
  </r>
  <r>
    <s v="PH"/>
    <n v="450"/>
    <x v="4"/>
    <d v="2025-07-02T00:00:00"/>
    <x v="0"/>
  </r>
  <r>
    <s v="TROCO"/>
    <n v="25"/>
    <x v="4"/>
    <d v="2025-07-03T00:00:00"/>
    <x v="8"/>
  </r>
  <r>
    <s v="AGUA"/>
    <n v="20"/>
    <x v="4"/>
    <d v="2025-07-03T00:00:00"/>
    <x v="1"/>
  </r>
  <r>
    <s v="PONTO"/>
    <n v="150"/>
    <x v="4"/>
    <d v="2025-07-03T00:00:00"/>
    <x v="6"/>
  </r>
  <r>
    <s v="DR ANDRE"/>
    <n v="540"/>
    <x v="4"/>
    <d v="2025-07-03T00:00:00"/>
    <x v="3"/>
  </r>
  <r>
    <s v="TRAFEGO"/>
    <n v="450"/>
    <x v="4"/>
    <d v="2025-07-03T00:00:00"/>
    <x v="4"/>
  </r>
  <r>
    <s v="TOP IMAGEM"/>
    <n v="120"/>
    <x v="4"/>
    <d v="2025-07-03T00:00:00"/>
    <x v="7"/>
  </r>
  <r>
    <s v="TOXICOLOGICO"/>
    <n v="345"/>
    <x v="4"/>
    <d v="2025-07-03T00:00:00"/>
    <x v="7"/>
  </r>
  <r>
    <s v="GASTROCENTER"/>
    <n v="280"/>
    <x v="4"/>
    <d v="2025-07-04T00:00:00"/>
    <x v="7"/>
  </r>
  <r>
    <s v="DR ARTHUR"/>
    <n v="40"/>
    <x v="4"/>
    <d v="2025-07-04T00:00:00"/>
    <x v="3"/>
  </r>
  <r>
    <s v="DR ALINE"/>
    <n v="130"/>
    <x v="4"/>
    <d v="2025-07-04T00:00:00"/>
    <x v="3"/>
  </r>
  <r>
    <s v="DR THIAGO"/>
    <n v="1020"/>
    <x v="4"/>
    <d v="2025-07-04T00:00:00"/>
    <x v="3"/>
  </r>
  <r>
    <s v="TRAFEGO"/>
    <n v="645"/>
    <x v="4"/>
    <d v="2025-07-04T00:00:00"/>
    <x v="4"/>
  </r>
  <r>
    <s v="PREV IMAGEM"/>
    <n v="1855"/>
    <x v="4"/>
    <d v="2025-07-04T00:00:00"/>
    <x v="7"/>
  </r>
  <r>
    <s v="AUDIOMETRIA"/>
    <n v="84"/>
    <x v="4"/>
    <d v="2025-07-05T00:00:00"/>
    <x v="7"/>
  </r>
  <r>
    <s v="MATERIAL DE LIMPEZA"/>
    <n v="75"/>
    <x v="4"/>
    <d v="2025-07-05T00:00:00"/>
    <x v="1"/>
  </r>
  <r>
    <s v="DR TACIANA"/>
    <n v="1545"/>
    <x v="4"/>
    <d v="2025-07-05T00:00:00"/>
    <x v="3"/>
  </r>
  <r>
    <s v="DR CAMILLA"/>
    <n v="160"/>
    <x v="4"/>
    <d v="2025-07-05T00:00:00"/>
    <x v="3"/>
  </r>
  <r>
    <s v="ESTORNO"/>
    <n v="17"/>
    <x v="4"/>
    <d v="2025-07-05T00:00:00"/>
    <x v="9"/>
  </r>
  <r>
    <s v="DR MARTA"/>
    <n v="2400"/>
    <x v="4"/>
    <d v="2025-07-05T00:00:00"/>
    <x v="3"/>
  </r>
  <r>
    <s v="PORTA"/>
    <n v="300"/>
    <x v="4"/>
    <d v="2025-07-05T00:00:00"/>
    <x v="6"/>
  </r>
  <r>
    <s v="GASTROCENTER"/>
    <n v="460"/>
    <x v="4"/>
    <d v="2025-07-07T00:00:00"/>
    <x v="7"/>
  </r>
  <r>
    <s v="MAQUINA USG"/>
    <n v="1500"/>
    <x v="4"/>
    <d v="2025-07-07T00:00:00"/>
    <x v="1"/>
  </r>
  <r>
    <s v="ESTORNO"/>
    <n v="10"/>
    <x v="4"/>
    <d v="2025-07-07T00:00:00"/>
    <x v="9"/>
  </r>
  <r>
    <s v="FAXINA"/>
    <n v="270"/>
    <x v="4"/>
    <d v="2025-07-07T00:00:00"/>
    <x v="15"/>
  </r>
  <r>
    <s v="ALUGUEL"/>
    <n v="5500"/>
    <x v="4"/>
    <d v="2025-07-07T00:00:00"/>
    <x v="11"/>
  </r>
  <r>
    <s v="CONTADOR"/>
    <n v="600"/>
    <x v="4"/>
    <d v="2025-07-07T00:00:00"/>
    <x v="12"/>
  </r>
  <r>
    <s v="TOP IMAGEM"/>
    <n v="40"/>
    <x v="4"/>
    <d v="2025-07-07T00:00:00"/>
    <x v="7"/>
  </r>
  <r>
    <s v="TOP IMAGEM"/>
    <n v="80"/>
    <x v="4"/>
    <d v="2025-07-07T00:00:00"/>
    <x v="7"/>
  </r>
  <r>
    <s v="TOP IMAGEM"/>
    <n v="40"/>
    <x v="4"/>
    <d v="2025-07-07T00:00:00"/>
    <x v="7"/>
  </r>
  <r>
    <s v="TOXICOLOGICO"/>
    <n v="440"/>
    <x v="4"/>
    <d v="2025-07-07T00:00:00"/>
    <x v="7"/>
  </r>
  <r>
    <s v="OFTALMO"/>
    <n v="120"/>
    <x v="4"/>
    <d v="2025-07-08T00:00:00"/>
    <x v="7"/>
  </r>
  <r>
    <s v="AGUA"/>
    <n v="124.84"/>
    <x v="4"/>
    <d v="2025-07-08T00:00:00"/>
    <x v="6"/>
  </r>
  <r>
    <s v="ENERGIA"/>
    <n v="85.19"/>
    <x v="4"/>
    <d v="2025-07-08T00:00:00"/>
    <x v="21"/>
  </r>
  <r>
    <s v="DR ODON"/>
    <n v="890"/>
    <x v="4"/>
    <d v="2025-07-08T00:00:00"/>
    <x v="3"/>
  </r>
  <r>
    <s v="DR TIAGO"/>
    <n v="539.4"/>
    <x v="4"/>
    <d v="2025-07-08T00:00:00"/>
    <x v="3"/>
  </r>
  <r>
    <s v="TOP IMAGEM"/>
    <n v="800"/>
    <x v="4"/>
    <d v="2025-07-08T00:00:00"/>
    <x v="7"/>
  </r>
  <r>
    <s v="DR CRISTIANE"/>
    <n v="300"/>
    <x v="4"/>
    <d v="2025-07-09T00:00:00"/>
    <x v="3"/>
  </r>
  <r>
    <s v="DR NATHALIA USG"/>
    <n v="1360"/>
    <x v="4"/>
    <d v="2025-07-09T00:00:00"/>
    <x v="3"/>
  </r>
  <r>
    <s v="DR NATHALIA GINECO"/>
    <n v="1860"/>
    <x v="4"/>
    <d v="2025-07-09T00:00:00"/>
    <x v="3"/>
  </r>
  <r>
    <s v="TR0C0"/>
    <n v="40"/>
    <x v="4"/>
    <d v="2025-07-09T00:00:00"/>
    <x v="8"/>
  </r>
  <r>
    <s v="LIXO"/>
    <n v="26"/>
    <x v="4"/>
    <d v="2025-07-09T00:00:00"/>
    <x v="1"/>
  </r>
  <r>
    <s v="BETA"/>
    <n v="72"/>
    <x v="4"/>
    <d v="2025-07-09T00:00:00"/>
    <x v="1"/>
  </r>
  <r>
    <s v="PAPEL "/>
    <n v="172.34"/>
    <x v="4"/>
    <d v="2025-07-09T00:00:00"/>
    <x v="1"/>
  </r>
  <r>
    <s v="COLONOSCOPIA"/>
    <n v="460"/>
    <x v="4"/>
    <d v="2025-07-11T00:00:00"/>
    <x v="7"/>
  </r>
  <r>
    <s v="AR CONDICIONADO"/>
    <n v="3600"/>
    <x v="4"/>
    <d v="2025-07-11T00:00:00"/>
    <x v="6"/>
  </r>
  <r>
    <s v="Rodrigo Tavares"/>
    <n v="4120.4799999999996"/>
    <x v="4"/>
    <d v="2025-07-11T00:00:00"/>
    <x v="10"/>
  </r>
  <r>
    <s v="ESTORNO"/>
    <n v="90"/>
    <x v="4"/>
    <d v="2025-07-11T00:00:00"/>
    <x v="9"/>
  </r>
  <r>
    <s v="PINCA"/>
    <n v="251"/>
    <x v="4"/>
    <d v="2025-07-11T00:00:00"/>
    <x v="1"/>
  </r>
  <r>
    <s v="BARBEADOR"/>
    <n v="50"/>
    <x v="4"/>
    <d v="2025-07-11T00:00:00"/>
    <x v="1"/>
  </r>
  <r>
    <s v="AGUA"/>
    <n v="20"/>
    <x v="4"/>
    <d v="2025-07-11T00:00:00"/>
    <x v="6"/>
  </r>
  <r>
    <s v="DR EDSON"/>
    <n v="559"/>
    <x v="4"/>
    <d v="2025-07-11T00:00:00"/>
    <x v="3"/>
  </r>
  <r>
    <s v="TROCO"/>
    <n v="2.5"/>
    <x v="4"/>
    <d v="2025-07-11T00:00:00"/>
    <x v="8"/>
  </r>
  <r>
    <s v="DR RAYANE"/>
    <n v="1040"/>
    <x v="4"/>
    <d v="2025-07-11T00:00:00"/>
    <x v="3"/>
  </r>
  <r>
    <s v="TRAFEGO"/>
    <n v="645"/>
    <x v="4"/>
    <d v="2025-07-11T00:00:00"/>
    <x v="4"/>
  </r>
  <r>
    <s v="PROCTOLOGISTA"/>
    <n v="100"/>
    <x v="4"/>
    <d v="2025-07-11T00:00:00"/>
    <x v="7"/>
  </r>
  <r>
    <s v="TOP"/>
    <n v="80"/>
    <x v="4"/>
    <d v="2025-07-11T00:00:00"/>
    <x v="7"/>
  </r>
  <r>
    <s v="DR TACIANA"/>
    <n v="500"/>
    <x v="4"/>
    <d v="2025-07-12T00:00:00"/>
    <x v="3"/>
  </r>
  <r>
    <s v="DR CAMILLA"/>
    <n v="50"/>
    <x v="4"/>
    <d v="2025-07-12T00:00:00"/>
    <x v="3"/>
  </r>
  <r>
    <s v="BOLO"/>
    <n v="30"/>
    <x v="4"/>
    <d v="2025-07-12T00:00:00"/>
    <x v="6"/>
  </r>
  <r>
    <s v="ENFERMEIRA"/>
    <n v="70"/>
    <x v="4"/>
    <d v="2025-07-12T00:00:00"/>
    <x v="6"/>
  </r>
  <r>
    <s v="FAXINA"/>
    <n v="170"/>
    <x v="4"/>
    <d v="2025-07-12T00:00:00"/>
    <x v="15"/>
  </r>
  <r>
    <s v="GASTROCENTER"/>
    <n v="1714"/>
    <x v="4"/>
    <d v="2025-07-14T00:00:00"/>
    <x v="7"/>
  </r>
  <r>
    <s v="FAST IA"/>
    <n v="1500"/>
    <x v="4"/>
    <d v="2025-07-14T00:00:00"/>
    <x v="22"/>
  </r>
  <r>
    <s v="DRA RAISSA"/>
    <n v="570"/>
    <x v="4"/>
    <d v="2025-07-14T00:00:00"/>
    <x v="3"/>
  </r>
  <r>
    <s v="IFOOD"/>
    <n v="32"/>
    <x v="4"/>
    <d v="2025-07-14T00:00:00"/>
    <x v="6"/>
  </r>
  <r>
    <s v="LAB MORAES"/>
    <n v="11357"/>
    <x v="4"/>
    <d v="2025-07-14T00:00:00"/>
    <x v="5"/>
  </r>
  <r>
    <s v="TOP IMAGEM"/>
    <n v="160"/>
    <x v="4"/>
    <d v="2025-07-14T00:00:00"/>
    <x v="7"/>
  </r>
  <r>
    <s v="TOP IMAGEM"/>
    <n v="40"/>
    <x v="4"/>
    <d v="2025-07-14T00:00:00"/>
    <x v="7"/>
  </r>
  <r>
    <s v="INTERNET "/>
    <n v="170"/>
    <x v="4"/>
    <d v="2025-07-15T00:00:00"/>
    <x v="13"/>
  </r>
  <r>
    <s v="PRONAMPE"/>
    <n v="6200"/>
    <x v="4"/>
    <d v="2025-07-15T00:00:00"/>
    <x v="20"/>
  </r>
  <r>
    <s v="TROCO"/>
    <n v="60"/>
    <x v="4"/>
    <d v="2025-07-15T00:00:00"/>
    <x v="8"/>
  </r>
  <r>
    <s v="DR THIAGO"/>
    <n v="530"/>
    <x v="4"/>
    <d v="2025-07-15T00:00:00"/>
    <x v="3"/>
  </r>
  <r>
    <s v="MATERIAL"/>
    <n v="158"/>
    <x v="4"/>
    <d v="2025-07-15T00:00:00"/>
    <x v="1"/>
  </r>
  <r>
    <s v="TROCO"/>
    <n v="70"/>
    <x v="4"/>
    <d v="2025-07-15T00:00:00"/>
    <x v="8"/>
  </r>
  <r>
    <s v="SEGURANCA"/>
    <n v="200"/>
    <x v="4"/>
    <d v="2025-07-15T00:00:00"/>
    <x v="18"/>
  </r>
  <r>
    <s v="DRA DANIELA"/>
    <n v="680"/>
    <x v="4"/>
    <d v="2025-07-15T00:00:00"/>
    <x v="3"/>
  </r>
  <r>
    <s v="CARRO"/>
    <n v="1535"/>
    <x v="4"/>
    <d v="2025-07-15T00:00:00"/>
    <x v="20"/>
  </r>
  <r>
    <s v="GASTROCENTER"/>
    <n v="460"/>
    <x v="4"/>
    <d v="2025-07-16T00:00:00"/>
    <x v="7"/>
  </r>
  <r>
    <s v="BOLO"/>
    <n v="44"/>
    <x v="4"/>
    <d v="2025-07-16T00:00:00"/>
    <x v="6"/>
  </r>
  <r>
    <s v="DOCE"/>
    <n v="10"/>
    <x v="4"/>
    <d v="2025-07-16T00:00:00"/>
    <x v="6"/>
  </r>
  <r>
    <s v="ALMOÇO"/>
    <n v="55"/>
    <x v="4"/>
    <d v="2025-07-16T00:00:00"/>
    <x v="6"/>
  </r>
  <r>
    <s v="FARMACIA"/>
    <n v="50"/>
    <x v="4"/>
    <d v="2025-07-16T00:00:00"/>
    <x v="1"/>
  </r>
  <r>
    <s v="DR ANDRE"/>
    <n v="1340"/>
    <x v="4"/>
    <d v="2025-07-16T00:00:00"/>
    <x v="3"/>
  </r>
  <r>
    <s v="DRA NATHALIA"/>
    <n v="2070"/>
    <x v="4"/>
    <d v="2025-07-16T00:00:00"/>
    <x v="3"/>
  </r>
  <r>
    <s v="TOP IMAGEM"/>
    <n v="40"/>
    <x v="4"/>
    <d v="2025-07-16T00:00:00"/>
    <x v="7"/>
  </r>
  <r>
    <s v="TOXICOLOGICO"/>
    <n v="495"/>
    <x v="4"/>
    <d v="2025-07-16T00:00:00"/>
    <x v="7"/>
  </r>
  <r>
    <s v="PROCTOLOGISTA"/>
    <n v="100"/>
    <x v="4"/>
    <d v="2025-07-17T00:00:00"/>
    <x v="7"/>
  </r>
  <r>
    <s v="PH"/>
    <n v="450"/>
    <x v="4"/>
    <d v="2025-07-17T00:00:00"/>
    <x v="0"/>
  </r>
  <r>
    <s v="INSUMOS"/>
    <n v="732.5"/>
    <x v="4"/>
    <d v="2025-07-17T00:00:00"/>
    <x v="1"/>
  </r>
  <r>
    <s v="ESTORNO"/>
    <n v="17"/>
    <x v="4"/>
    <d v="2025-07-17T00:00:00"/>
    <x v="9"/>
  </r>
  <r>
    <s v="SITE"/>
    <n v="36"/>
    <x v="4"/>
    <d v="2025-07-17T00:00:00"/>
    <x v="4"/>
  </r>
  <r>
    <s v="TRAFEGO"/>
    <n v="175"/>
    <x v="4"/>
    <d v="2025-07-17T00:00:00"/>
    <x v="4"/>
  </r>
  <r>
    <s v="TOP IMAGEM"/>
    <n v="400"/>
    <x v="4"/>
    <d v="2025-07-17T00:00:00"/>
    <x v="7"/>
  </r>
  <r>
    <s v="GASTROCENTER"/>
    <n v="280"/>
    <x v="4"/>
    <d v="2025-07-18T00:00:00"/>
    <x v="7"/>
  </r>
  <r>
    <s v="ESTORNO"/>
    <n v="490"/>
    <x v="4"/>
    <d v="2025-07-18T00:00:00"/>
    <x v="9"/>
  </r>
  <r>
    <s v="PILHA MAPA"/>
    <n v="66.5"/>
    <x v="4"/>
    <d v="2025-07-18T00:00:00"/>
    <x v="1"/>
  </r>
  <r>
    <s v="TROCO"/>
    <n v="14"/>
    <x v="4"/>
    <d v="2025-07-18T00:00:00"/>
    <x v="8"/>
  </r>
  <r>
    <s v="CREDITO"/>
    <n v="30"/>
    <x v="4"/>
    <d v="2025-07-18T00:00:00"/>
    <x v="6"/>
  </r>
  <r>
    <s v="DR RAYANNE"/>
    <n v="510"/>
    <x v="4"/>
    <d v="2025-07-18T00:00:00"/>
    <x v="3"/>
  </r>
  <r>
    <s v="TRAFEGO"/>
    <n v="645"/>
    <x v="4"/>
    <d v="2025-07-18T00:00:00"/>
    <x v="4"/>
  </r>
  <r>
    <s v="DR TACIANA"/>
    <n v="1810"/>
    <x v="4"/>
    <d v="2025-07-19T00:00:00"/>
    <x v="3"/>
  </r>
  <r>
    <s v="PANFLETAGEM"/>
    <n v="100"/>
    <x v="4"/>
    <d v="2025-07-20T00:00:00"/>
    <x v="4"/>
  </r>
  <r>
    <s v="GASTROCENTER"/>
    <n v="280"/>
    <x v="4"/>
    <d v="2025-07-21T00:00:00"/>
    <x v="7"/>
  </r>
  <r>
    <s v="ESTORNO"/>
    <n v="62.5"/>
    <x v="4"/>
    <d v="2025-07-21T00:00:00"/>
    <x v="9"/>
  </r>
  <r>
    <s v="BRASCON"/>
    <n v="190.43"/>
    <x v="4"/>
    <d v="2025-07-21T00:00:00"/>
    <x v="6"/>
  </r>
  <r>
    <s v="DR ALLANA "/>
    <n v="300"/>
    <x v="4"/>
    <d v="2025-07-21T00:00:00"/>
    <x v="3"/>
  </r>
  <r>
    <s v="INSUMOS"/>
    <n v="800"/>
    <x v="4"/>
    <d v="2025-07-21T00:00:00"/>
    <x v="1"/>
  </r>
  <r>
    <s v="TOP IMAGEM"/>
    <n v="40"/>
    <x v="4"/>
    <d v="2025-07-21T00:00:00"/>
    <x v="7"/>
  </r>
  <r>
    <s v="TOXICOLOGICO"/>
    <n v="385"/>
    <x v="4"/>
    <d v="2025-07-21T00:00:00"/>
    <x v="7"/>
  </r>
  <r>
    <s v="AUDIOMETRIA"/>
    <n v="40"/>
    <x v="4"/>
    <d v="2025-07-22T00:00:00"/>
    <x v="7"/>
  </r>
  <r>
    <s v="OFTALMO"/>
    <n v="100"/>
    <x v="4"/>
    <d v="2025-07-22T00:00:00"/>
    <x v="7"/>
  </r>
  <r>
    <s v="TROCO"/>
    <n v="5"/>
    <x v="4"/>
    <d v="2025-07-22T00:00:00"/>
    <x v="8"/>
  </r>
  <r>
    <s v="FAXINA"/>
    <n v="170"/>
    <x v="4"/>
    <d v="2025-07-22T00:00:00"/>
    <x v="15"/>
  </r>
  <r>
    <s v="AGUA"/>
    <n v="20"/>
    <x v="4"/>
    <d v="2025-07-22T00:00:00"/>
    <x v="6"/>
  </r>
  <r>
    <s v="DR ODON"/>
    <n v="1085"/>
    <x v="4"/>
    <d v="2025-07-22T00:00:00"/>
    <x v="3"/>
  </r>
  <r>
    <s v="DR THIAGO"/>
    <n v="400"/>
    <x v="4"/>
    <d v="2025-07-22T00:00:00"/>
    <x v="3"/>
  </r>
  <r>
    <s v="TRAFEGO"/>
    <n v="1510"/>
    <x v="4"/>
    <d v="2025-07-22T00:00:00"/>
    <x v="4"/>
  </r>
  <r>
    <s v="TOP IMAGEM"/>
    <n v="80"/>
    <x v="4"/>
    <d v="2025-07-22T00:00:00"/>
    <x v="7"/>
  </r>
  <r>
    <s v="TOP IMAGEM"/>
    <n v="400"/>
    <x v="4"/>
    <d v="2025-07-22T00:00:00"/>
    <x v="7"/>
  </r>
  <r>
    <s v="PROCTOLOGISTA"/>
    <n v="100"/>
    <x v="4"/>
    <d v="2025-07-23T00:00:00"/>
    <x v="7"/>
  </r>
  <r>
    <s v="NAT GINECO"/>
    <n v="1280"/>
    <x v="4"/>
    <d v="2025-07-23T00:00:00"/>
    <x v="3"/>
  </r>
  <r>
    <s v="NAT USG"/>
    <n v="1122"/>
    <x v="4"/>
    <d v="2025-07-23T00:00:00"/>
    <x v="3"/>
  </r>
  <r>
    <s v="TOP IMAGEM"/>
    <n v="80"/>
    <x v="4"/>
    <d v="2025-07-23T00:00:00"/>
    <x v="7"/>
  </r>
  <r>
    <s v="TROCO"/>
    <n v="14"/>
    <x v="4"/>
    <d v="2025-07-23T00:00:00"/>
    <x v="7"/>
  </r>
  <r>
    <s v="DRA RAYANNE"/>
    <n v="1059.4000000000001"/>
    <x v="4"/>
    <d v="2025-07-25T00:00:00"/>
    <x v="3"/>
  </r>
  <r>
    <s v="MEDICAL"/>
    <n v="54"/>
    <x v="4"/>
    <d v="2025-07-25T00:00:00"/>
    <x v="1"/>
  </r>
  <r>
    <s v="FONO"/>
    <n v="140"/>
    <x v="4"/>
    <d v="2025-07-26T00:00:00"/>
    <x v="7"/>
  </r>
  <r>
    <s v="OFTALMO"/>
    <n v="120"/>
    <x v="4"/>
    <d v="2025-07-26T00:00:00"/>
    <x v="7"/>
  </r>
  <r>
    <s v="TROCO"/>
    <n v="1"/>
    <x v="4"/>
    <d v="2025-07-26T00:00:00"/>
    <x v="8"/>
  </r>
  <r>
    <s v="MATERIAL"/>
    <n v="41"/>
    <x v="4"/>
    <d v="2025-07-26T00:00:00"/>
    <x v="1"/>
  </r>
  <r>
    <s v="BLINDAGEM"/>
    <n v="3000"/>
    <x v="4"/>
    <d v="2025-07-26T00:00:00"/>
    <x v="6"/>
  </r>
  <r>
    <s v="CLARO"/>
    <n v="135"/>
    <x v="4"/>
    <d v="2025-07-26T00:00:00"/>
    <x v="6"/>
  </r>
  <r>
    <s v="AGUA"/>
    <n v="10"/>
    <x v="4"/>
    <d v="2025-07-26T00:00:00"/>
    <x v="6"/>
  </r>
  <r>
    <s v="BRUNA"/>
    <n v="170"/>
    <x v="4"/>
    <d v="2025-07-26T00:00:00"/>
    <x v="15"/>
  </r>
  <r>
    <s v="NUTRICIONISTA"/>
    <n v="200"/>
    <x v="4"/>
    <d v="2025-07-26T00:00:00"/>
    <x v="3"/>
  </r>
  <r>
    <s v="DRA CAMILLA"/>
    <n v="80"/>
    <x v="4"/>
    <d v="2025-07-26T00:00:00"/>
    <x v="3"/>
  </r>
  <r>
    <s v="TOP IMAGEM"/>
    <n v="800"/>
    <x v="4"/>
    <d v="2025-07-26T00:00:00"/>
    <x v="7"/>
  </r>
  <r>
    <s v="PREV IMAGEM"/>
    <n v="1630"/>
    <x v="4"/>
    <d v="2025-07-27T00:00:00"/>
    <x v="7"/>
  </r>
  <r>
    <s v="RH"/>
    <n v="1250"/>
    <x v="4"/>
    <d v="2025-07-27T00:00:00"/>
    <x v="6"/>
  </r>
  <r>
    <s v="DR RAISSA"/>
    <n v="699"/>
    <x v="4"/>
    <d v="2025-07-27T00:00:00"/>
    <x v="3"/>
  </r>
  <r>
    <s v="ESTORNO"/>
    <n v="40"/>
    <x v="4"/>
    <d v="2025-07-27T00:00:00"/>
    <x v="9"/>
  </r>
  <r>
    <s v="TRAFEGO"/>
    <n v="645"/>
    <x v="4"/>
    <d v="2025-07-27T00:00:00"/>
    <x v="4"/>
  </r>
  <r>
    <s v="TOXICOLOGICO"/>
    <n v="330"/>
    <x v="4"/>
    <d v="2025-07-27T00:00:00"/>
    <x v="7"/>
  </r>
  <r>
    <s v="DR THIAGO"/>
    <n v="600"/>
    <x v="4"/>
    <d v="2025-07-29T00:00:00"/>
    <x v="3"/>
  </r>
  <r>
    <s v="TRAFEGO"/>
    <n v="233"/>
    <x v="4"/>
    <d v="2025-07-29T00:00:00"/>
    <x v="4"/>
  </r>
  <r>
    <s v="TOP"/>
    <n v="780"/>
    <x v="4"/>
    <d v="2025-07-30T00:00:00"/>
    <x v="7"/>
  </r>
  <r>
    <s v="PANFLETAGEM"/>
    <n v="228.4"/>
    <x v="4"/>
    <d v="2025-07-30T00:00:00"/>
    <x v="4"/>
  </r>
  <r>
    <s v="TROCO"/>
    <n v="10"/>
    <x v="4"/>
    <d v="2025-07-30T00:00:00"/>
    <x v="8"/>
  </r>
  <r>
    <s v="TROCO"/>
    <n v="10"/>
    <x v="4"/>
    <d v="2025-07-30T00:00:00"/>
    <x v="8"/>
  </r>
  <r>
    <s v="PORTA"/>
    <n v="40"/>
    <x v="4"/>
    <d v="2025-07-30T00:00:00"/>
    <x v="6"/>
  </r>
  <r>
    <s v="NAT USG"/>
    <n v="1136"/>
    <x v="4"/>
    <d v="2025-07-30T00:00:00"/>
    <x v="3"/>
  </r>
  <r>
    <s v="NAT GINECO"/>
    <n v="950"/>
    <x v="4"/>
    <d v="2025-07-30T00:00:00"/>
    <x v="3"/>
  </r>
  <r>
    <s v="DR ANDRE"/>
    <n v="960"/>
    <x v="4"/>
    <d v="2025-07-30T00:00:00"/>
    <x v="3"/>
  </r>
  <r>
    <s v="DR LEALDO"/>
    <n v="1050"/>
    <x v="4"/>
    <d v="2025-07-30T00:00:00"/>
    <x v="3"/>
  </r>
  <r>
    <s v="CHEIRINHO"/>
    <n v="60"/>
    <x v="4"/>
    <d v="2025-07-30T00:00:00"/>
    <x v="6"/>
  </r>
  <r>
    <s v="PROCTOLOGISTA"/>
    <n v="100"/>
    <x v="4"/>
    <d v="2025-07-31T00:00:00"/>
    <x v="7"/>
  </r>
  <r>
    <s v="AGUA"/>
    <n v="20"/>
    <x v="4"/>
    <d v="2025-07-31T00:00:00"/>
    <x v="6"/>
  </r>
  <r>
    <s v="DR RHAIANA"/>
    <n v="840"/>
    <x v="4"/>
    <d v="2025-07-31T00:00:00"/>
    <x v="3"/>
  </r>
  <r>
    <s v="GILLETE"/>
    <n v="70"/>
    <x v="4"/>
    <d v="2025-07-31T00:00:00"/>
    <x v="1"/>
  </r>
  <r>
    <s v="OFTALMO"/>
    <n v="360"/>
    <x v="5"/>
    <d v="2025-08-01T00:00:00"/>
    <x v="7"/>
  </r>
  <r>
    <s v="RAQUEL"/>
    <n v="1723"/>
    <x v="5"/>
    <d v="2025-08-01T00:00:00"/>
    <x v="0"/>
  </r>
  <r>
    <s v="VITORIA"/>
    <n v="800"/>
    <x v="5"/>
    <d v="2025-08-01T00:00:00"/>
    <x v="0"/>
  </r>
  <r>
    <s v="BIA"/>
    <n v="4000"/>
    <x v="5"/>
    <d v="2025-08-01T00:00:00"/>
    <x v="0"/>
  </r>
  <r>
    <s v="RODRIGO"/>
    <n v="1500"/>
    <x v="5"/>
    <d v="2025-08-01T00:00:00"/>
    <x v="0"/>
  </r>
  <r>
    <s v="PATRICIA"/>
    <n v="2000"/>
    <x v="5"/>
    <d v="2025-08-01T00:00:00"/>
    <x v="0"/>
  </r>
  <r>
    <s v="TROCO"/>
    <n v="25"/>
    <x v="5"/>
    <d v="2025-08-01T00:00:00"/>
    <x v="8"/>
  </r>
  <r>
    <s v="ENERGIA"/>
    <n v="2282.54"/>
    <x v="5"/>
    <d v="2025-08-01T00:00:00"/>
    <x v="21"/>
  </r>
  <r>
    <s v="NAT USG"/>
    <n v="964"/>
    <x v="5"/>
    <d v="2025-08-01T00:00:00"/>
    <x v="3"/>
  </r>
  <r>
    <s v="VT VITORIA"/>
    <n v="180.6"/>
    <x v="5"/>
    <d v="2025-08-01T00:00:00"/>
    <x v="0"/>
  </r>
  <r>
    <s v="VR"/>
    <n v="861"/>
    <x v="5"/>
    <d v="2025-08-01T00:00:00"/>
    <x v="0"/>
  </r>
  <r>
    <s v="DR RAIANA"/>
    <n v="840"/>
    <x v="5"/>
    <d v="2025-08-01T00:00:00"/>
    <x v="3"/>
  </r>
  <r>
    <s v="TROCO"/>
    <n v="10"/>
    <x v="5"/>
    <d v="2025-08-01T00:00:00"/>
    <x v="8"/>
  </r>
  <r>
    <s v="DR RAYANE"/>
    <n v="860"/>
    <x v="5"/>
    <d v="2025-08-01T00:00:00"/>
    <x v="3"/>
  </r>
  <r>
    <s v="UBER"/>
    <n v="100"/>
    <x v="5"/>
    <d v="2025-08-01T00:00:00"/>
    <x v="6"/>
  </r>
  <r>
    <s v="TRAFEGO"/>
    <n v="645"/>
    <x v="5"/>
    <d v="2025-08-01T00:00:00"/>
    <x v="4"/>
  </r>
  <r>
    <s v="TOXICOLOGICO"/>
    <n v="525"/>
    <x v="5"/>
    <d v="2025-08-01T00:00:00"/>
    <x v="7"/>
  </r>
  <r>
    <s v="TOP"/>
    <n v="40"/>
    <x v="5"/>
    <d v="2025-08-02T00:00:00"/>
    <x v="7"/>
  </r>
  <r>
    <s v="TROCO"/>
    <n v="70"/>
    <x v="5"/>
    <d v="2025-08-02T00:00:00"/>
    <x v="8"/>
  </r>
  <r>
    <s v="CONSORCIO "/>
    <n v="2200"/>
    <x v="5"/>
    <d v="2025-08-02T00:00:00"/>
    <x v="20"/>
  </r>
  <r>
    <s v="LIVIA"/>
    <n v="50"/>
    <x v="5"/>
    <d v="2025-08-02T00:00:00"/>
    <x v="3"/>
  </r>
  <r>
    <s v="CAMILLA"/>
    <n v="250"/>
    <x v="5"/>
    <d v="2025-08-02T00:00:00"/>
    <x v="3"/>
  </r>
  <r>
    <s v="TROCO"/>
    <n v="30"/>
    <x v="5"/>
    <d v="2025-08-02T00:00:00"/>
    <x v="8"/>
  </r>
  <r>
    <s v="BRUNA"/>
    <n v="170"/>
    <x v="5"/>
    <d v="2025-08-02T00:00:00"/>
    <x v="8"/>
  </r>
  <r>
    <s v="TROCO"/>
    <n v="10.1"/>
    <x v="5"/>
    <d v="2025-08-02T00:00:00"/>
    <x v="8"/>
  </r>
  <r>
    <s v="ENDOSCOPIA"/>
    <n v="200"/>
    <x v="5"/>
    <d v="2025-08-04T00:00:00"/>
    <x v="7"/>
  </r>
  <r>
    <s v="FONO"/>
    <n v="90"/>
    <x v="5"/>
    <d v="2025-08-04T00:00:00"/>
    <x v="3"/>
  </r>
  <r>
    <s v="DR ODON"/>
    <n v="895"/>
    <x v="5"/>
    <d v="2025-08-04T00:00:00"/>
    <x v="3"/>
  </r>
  <r>
    <s v="COMISSAO "/>
    <n v="1800"/>
    <x v="5"/>
    <d v="2025-08-04T00:00:00"/>
    <x v="0"/>
  </r>
  <r>
    <s v="PH"/>
    <n v="1000"/>
    <x v="5"/>
    <d v="2025-08-04T00:00:00"/>
    <x v="0"/>
  </r>
  <r>
    <s v="MAQUINA USG"/>
    <n v="1500"/>
    <x v="5"/>
    <d v="2025-08-04T00:00:00"/>
    <x v="1"/>
  </r>
  <r>
    <s v="DR ALINE"/>
    <n v="680"/>
    <x v="5"/>
    <d v="2025-08-05T00:00:00"/>
    <x v="3"/>
  </r>
  <r>
    <s v="UROLOGISTA"/>
    <n v="300"/>
    <x v="5"/>
    <d v="2025-08-05T00:00:00"/>
    <x v="3"/>
  </r>
  <r>
    <s v="CAMISAS"/>
    <n v="780"/>
    <x v="5"/>
    <d v="2025-08-05T00:00:00"/>
    <x v="6"/>
  </r>
  <r>
    <s v="TRAFEGO"/>
    <n v="291"/>
    <x v="5"/>
    <d v="2025-08-05T00:00:00"/>
    <x v="4"/>
  </r>
  <r>
    <s v="TOXICOLOGICO"/>
    <n v="440"/>
    <x v="5"/>
    <d v="2025-08-05T00:00:00"/>
    <x v="7"/>
  </r>
  <r>
    <s v="AUDIOMETRIA"/>
    <n v="42"/>
    <x v="5"/>
    <d v="2025-08-06T00:00:00"/>
    <x v="7"/>
  </r>
  <r>
    <s v="NAT USG"/>
    <n v="900"/>
    <x v="5"/>
    <d v="2025-08-06T00:00:00"/>
    <x v="3"/>
  </r>
  <r>
    <s v="NAT GINECO"/>
    <n v="1190"/>
    <x v="5"/>
    <d v="2025-08-06T00:00:00"/>
    <x v="3"/>
  </r>
  <r>
    <s v="RAIANA"/>
    <n v="560"/>
    <x v="5"/>
    <d v="2025-08-06T00:00:00"/>
    <x v="3"/>
  </r>
  <r>
    <s v="VT "/>
    <n v="231.29"/>
    <x v="5"/>
    <d v="2025-08-06T00:00:00"/>
    <x v="0"/>
  </r>
  <r>
    <s v="ALUGUEL"/>
    <n v="5500"/>
    <x v="5"/>
    <d v="2025-08-06T00:00:00"/>
    <x v="11"/>
  </r>
  <r>
    <s v="PAPEL "/>
    <n v="110"/>
    <x v="5"/>
    <d v="2025-08-06T00:00:00"/>
    <x v="1"/>
  </r>
  <r>
    <s v="ESTORNO"/>
    <n v="120"/>
    <x v="5"/>
    <d v="2025-08-06T00:00:00"/>
    <x v="9"/>
  </r>
  <r>
    <s v="FISIO"/>
    <n v="50"/>
    <x v="5"/>
    <d v="2025-08-06T00:00:00"/>
    <x v="3"/>
  </r>
  <r>
    <s v="MEIO AMBIENTE"/>
    <n v="564"/>
    <x v="5"/>
    <d v="2025-08-06T00:00:00"/>
    <x v="6"/>
  </r>
  <r>
    <s v="TOP IMAGEM"/>
    <n v="40"/>
    <x v="5"/>
    <d v="2025-08-06T00:00:00"/>
    <x v="7"/>
  </r>
  <r>
    <s v="ENDOSCOPIA"/>
    <n v="280"/>
    <x v="5"/>
    <d v="2025-08-08T00:00:00"/>
    <x v="7"/>
  </r>
  <r>
    <s v="DIA DOS PAIS"/>
    <n v="40.5"/>
    <x v="5"/>
    <d v="2025-08-08T00:00:00"/>
    <x v="4"/>
  </r>
  <r>
    <s v="MATERIAL"/>
    <n v="127"/>
    <x v="5"/>
    <d v="2025-08-08T00:00:00"/>
    <x v="1"/>
  </r>
  <r>
    <s v="ESTORNO"/>
    <n v="17.5"/>
    <x v="5"/>
    <d v="2025-08-08T00:00:00"/>
    <x v="9"/>
  </r>
  <r>
    <s v="TROCO"/>
    <n v="5"/>
    <x v="5"/>
    <d v="2025-08-08T00:00:00"/>
    <x v="8"/>
  </r>
  <r>
    <s v="RAYANE"/>
    <n v="1350"/>
    <x v="5"/>
    <d v="2025-08-08T00:00:00"/>
    <x v="3"/>
  </r>
  <r>
    <s v="TACIANA"/>
    <n v="1475"/>
    <x v="5"/>
    <d v="2025-08-08T00:00:00"/>
    <x v="3"/>
  </r>
  <r>
    <s v="TROCO"/>
    <n v="10"/>
    <x v="5"/>
    <d v="2025-08-08T00:00:00"/>
    <x v="8"/>
  </r>
  <r>
    <s v="DOCE"/>
    <n v="5.5"/>
    <x v="5"/>
    <d v="2025-08-08T00:00:00"/>
    <x v="6"/>
  </r>
  <r>
    <s v="PAI"/>
    <n v="32.5"/>
    <x v="5"/>
    <d v="2025-08-08T00:00:00"/>
    <x v="6"/>
  </r>
  <r>
    <s v="ROBSON"/>
    <n v="435"/>
    <x v="5"/>
    <d v="2025-08-08T00:00:00"/>
    <x v="6"/>
  </r>
  <r>
    <s v="TOP"/>
    <n v="860"/>
    <x v="5"/>
    <d v="2025-08-11T00:00:00"/>
    <x v="7"/>
  </r>
  <r>
    <s v="DIA DOS PAIS"/>
    <n v="1045"/>
    <x v="5"/>
    <d v="2025-08-11T00:00:00"/>
    <x v="4"/>
  </r>
  <r>
    <s v="BRASCON"/>
    <n v="173"/>
    <x v="5"/>
    <d v="2025-08-11T00:00:00"/>
    <x v="6"/>
  </r>
  <r>
    <s v="TROCO"/>
    <n v="40"/>
    <x v="5"/>
    <d v="2025-08-11T00:00:00"/>
    <x v="8"/>
  </r>
  <r>
    <s v="COCA"/>
    <n v="4"/>
    <x v="5"/>
    <d v="2025-08-11T00:00:00"/>
    <x v="6"/>
  </r>
  <r>
    <s v="AGUA"/>
    <n v="20"/>
    <x v="5"/>
    <d v="2025-08-11T00:00:00"/>
    <x v="1"/>
  </r>
  <r>
    <s v="ESTORNO"/>
    <n v="250"/>
    <x v="5"/>
    <d v="2025-08-11T00:00:00"/>
    <x v="9"/>
  </r>
  <r>
    <s v="DRA RAISSA"/>
    <n v="1060"/>
    <x v="5"/>
    <d v="2025-08-11T00:00:00"/>
    <x v="3"/>
  </r>
  <r>
    <s v="DRA CAMILLA"/>
    <n v="400"/>
    <x v="5"/>
    <d v="2025-08-11T00:00:00"/>
    <x v="3"/>
  </r>
  <r>
    <s v="MOVEL"/>
    <n v="300"/>
    <x v="5"/>
    <d v="2025-08-11T00:00:00"/>
    <x v="6"/>
  </r>
  <r>
    <s v="VERISURE"/>
    <n v="270"/>
    <x v="5"/>
    <d v="2025-08-11T00:00:00"/>
    <x v="6"/>
  </r>
  <r>
    <s v="TRAFEGO"/>
    <n v="645"/>
    <x v="5"/>
    <d v="2025-08-11T00:00:00"/>
    <x v="4"/>
  </r>
  <r>
    <s v="TOXICOLOGICO"/>
    <n v="385"/>
    <x v="5"/>
    <d v="2025-08-11T00:00:00"/>
    <x v="7"/>
  </r>
  <r>
    <s v="ERLON"/>
    <n v="190"/>
    <x v="5"/>
    <d v="2025-08-12T00:00:00"/>
    <x v="4"/>
  </r>
  <r>
    <s v="ROYALTIES"/>
    <n v="4922"/>
    <x v="5"/>
    <d v="2025-08-12T00:00:00"/>
    <x v="10"/>
  </r>
  <r>
    <s v="INTERNET "/>
    <n v="170"/>
    <x v="5"/>
    <d v="2025-08-13T00:00:00"/>
    <x v="13"/>
  </r>
  <r>
    <s v="PROCTOLOGISTA"/>
    <n v="100"/>
    <x v="5"/>
    <d v="2025-08-13T00:00:00"/>
    <x v="7"/>
  </r>
  <r>
    <s v="TOP"/>
    <n v="40"/>
    <x v="5"/>
    <d v="2025-08-13T00:00:00"/>
    <x v="7"/>
  </r>
  <r>
    <s v="BOLO"/>
    <n v="60"/>
    <x v="5"/>
    <d v="2025-08-13T00:00:00"/>
    <x v="6"/>
  </r>
  <r>
    <s v="TROCO"/>
    <n v="7"/>
    <x v="5"/>
    <d v="2025-08-13T00:00:00"/>
    <x v="8"/>
  </r>
  <r>
    <s v="CONTADOR"/>
    <n v="600"/>
    <x v="5"/>
    <d v="2025-08-13T00:00:00"/>
    <x v="12"/>
  </r>
  <r>
    <s v="NAT USG"/>
    <n v="1132"/>
    <x v="5"/>
    <d v="2025-08-13T00:00:00"/>
    <x v="3"/>
  </r>
  <r>
    <s v="NAT GINECO"/>
    <n v="1335"/>
    <x v="5"/>
    <d v="2025-08-13T00:00:00"/>
    <x v="3"/>
  </r>
  <r>
    <s v="ANDRE"/>
    <n v="1620"/>
    <x v="5"/>
    <d v="2025-08-13T00:00:00"/>
    <x v="3"/>
  </r>
  <r>
    <s v="LEALDO"/>
    <n v="1050"/>
    <x v="5"/>
    <d v="2025-08-13T00:00:00"/>
    <x v="3"/>
  </r>
  <r>
    <s v="TOP"/>
    <n v="80"/>
    <x v="5"/>
    <d v="2025-08-14T00:00:00"/>
    <x v="7"/>
  </r>
  <r>
    <s v="CAMERA"/>
    <n v="200"/>
    <x v="5"/>
    <d v="2025-08-14T00:00:00"/>
    <x v="6"/>
  </r>
  <r>
    <s v="FISIO"/>
    <n v="400"/>
    <x v="5"/>
    <d v="2025-08-14T00:00:00"/>
    <x v="3"/>
  </r>
  <r>
    <s v="FAST"/>
    <n v="1500"/>
    <x v="5"/>
    <d v="2025-08-14T00:00:00"/>
    <x v="24"/>
  </r>
  <r>
    <s v="RAIANA"/>
    <n v="600"/>
    <x v="5"/>
    <d v="2025-08-14T00:00:00"/>
    <x v="3"/>
  </r>
  <r>
    <s v="THIAGO"/>
    <n v="600"/>
    <x v="5"/>
    <d v="2025-08-14T00:00:00"/>
    <x v="3"/>
  </r>
  <r>
    <s v="CARDIOCENTER"/>
    <n v="2014"/>
    <x v="5"/>
    <d v="2025-08-15T00:00:00"/>
    <x v="7"/>
  </r>
  <r>
    <s v="TROCO"/>
    <n v="75"/>
    <x v="5"/>
    <d v="2025-08-15T00:00:00"/>
    <x v="8"/>
  </r>
  <r>
    <s v="TROCO"/>
    <n v="20"/>
    <x v="5"/>
    <d v="2025-08-15T00:00:00"/>
    <x v="8"/>
  </r>
  <r>
    <s v="RAYANE"/>
    <n v="1059.8"/>
    <x v="5"/>
    <d v="2025-08-15T00:00:00"/>
    <x v="3"/>
  </r>
  <r>
    <s v="TRAFEGO"/>
    <n v="645"/>
    <x v="5"/>
    <d v="2025-08-15T00:00:00"/>
    <x v="4"/>
  </r>
  <r>
    <s v="GASTROCENTER"/>
    <n v="280"/>
    <x v="5"/>
    <d v="2025-08-16T00:00:00"/>
    <x v="7"/>
  </r>
  <r>
    <s v="TROCO"/>
    <n v="20"/>
    <x v="5"/>
    <d v="2025-08-16T00:00:00"/>
    <x v="8"/>
  </r>
  <r>
    <s v="CAMILLA"/>
    <n v="40"/>
    <x v="5"/>
    <d v="2025-08-16T00:00:00"/>
    <x v="3"/>
  </r>
  <r>
    <s v="TACIANA"/>
    <n v="890"/>
    <x v="5"/>
    <d v="2025-08-16T00:00:00"/>
    <x v="3"/>
  </r>
  <r>
    <s v="FAXINA"/>
    <n v="170"/>
    <x v="5"/>
    <d v="2025-08-16T00:00:00"/>
    <x v="15"/>
  </r>
  <r>
    <s v="TABLET"/>
    <n v="30"/>
    <x v="5"/>
    <d v="2025-08-16T00:00:00"/>
    <x v="6"/>
  </r>
  <r>
    <s v="GASTROCENTER"/>
    <n v="280"/>
    <x v="5"/>
    <d v="2025-08-18T00:00:00"/>
    <x v="7"/>
  </r>
  <r>
    <s v="PREV IMAGEM"/>
    <n v="740"/>
    <x v="5"/>
    <d v="2025-08-18T00:00:00"/>
    <x v="7"/>
  </r>
  <r>
    <s v="TOP"/>
    <n v="80"/>
    <x v="5"/>
    <d v="2025-08-18T00:00:00"/>
    <x v="7"/>
  </r>
  <r>
    <s v="TOP"/>
    <n v="40"/>
    <x v="5"/>
    <d v="2025-08-18T00:00:00"/>
    <x v="7"/>
  </r>
  <r>
    <s v="PANFLETAGEM"/>
    <n v="288.39999999999998"/>
    <x v="5"/>
    <d v="2025-08-18T00:00:00"/>
    <x v="4"/>
  </r>
  <r>
    <s v="TROCO"/>
    <n v="20"/>
    <x v="5"/>
    <d v="2025-08-18T00:00:00"/>
    <x v="8"/>
  </r>
  <r>
    <s v="TROCO"/>
    <n v="18.3"/>
    <x v="5"/>
    <d v="2025-08-18T00:00:00"/>
    <x v="8"/>
  </r>
  <r>
    <s v="MACA"/>
    <n v="83"/>
    <x v="5"/>
    <d v="2025-08-18T00:00:00"/>
    <x v="1"/>
  </r>
  <r>
    <s v="ODON"/>
    <n v="1070"/>
    <x v="5"/>
    <d v="2025-08-18T00:00:00"/>
    <x v="3"/>
  </r>
  <r>
    <s v="ESTORNO"/>
    <n v="300"/>
    <x v="5"/>
    <d v="2025-08-18T00:00:00"/>
    <x v="9"/>
  </r>
  <r>
    <s v="OUTROS"/>
    <n v="24"/>
    <x v="5"/>
    <d v="2025-08-18T00:00:00"/>
    <x v="6"/>
  </r>
  <r>
    <s v="UROLOGISTA"/>
    <n v="600"/>
    <x v="5"/>
    <d v="2025-08-18T00:00:00"/>
    <x v="3"/>
  </r>
  <r>
    <s v="ALINE"/>
    <n v="100"/>
    <x v="5"/>
    <d v="2025-08-18T00:00:00"/>
    <x v="3"/>
  </r>
  <r>
    <s v="ENERGIA"/>
    <n v="786.99"/>
    <x v="5"/>
    <d v="2025-08-18T00:00:00"/>
    <x v="3"/>
  </r>
  <r>
    <s v="IMPOSTO"/>
    <n v="1132.1199999999999"/>
    <x v="5"/>
    <d v="2025-08-18T00:00:00"/>
    <x v="16"/>
  </r>
  <r>
    <s v="TRAFEGO"/>
    <n v="850"/>
    <x v="5"/>
    <d v="2025-08-18T00:00:00"/>
    <x v="4"/>
  </r>
  <r>
    <s v="TOXICOLOGICO"/>
    <n v="495"/>
    <x v="5"/>
    <d v="2025-08-18T00:00:00"/>
    <x v="7"/>
  </r>
  <r>
    <s v="ANDRE"/>
    <n v="1080"/>
    <x v="5"/>
    <d v="2025-08-20T00:00:00"/>
    <x v="7"/>
  </r>
  <r>
    <s v="TOP"/>
    <n v="540"/>
    <x v="5"/>
    <d v="2025-08-20T00:00:00"/>
    <x v="7"/>
  </r>
  <r>
    <s v="ENGENHEIRO"/>
    <n v="1500"/>
    <x v="5"/>
    <d v="2025-08-20T00:00:00"/>
    <x v="6"/>
  </r>
  <r>
    <s v="GINECO"/>
    <n v="390"/>
    <x v="5"/>
    <d v="2025-08-20T00:00:00"/>
    <x v="3"/>
  </r>
  <r>
    <s v="LEALDO"/>
    <n v="350"/>
    <x v="5"/>
    <d v="2025-08-20T00:00:00"/>
    <x v="3"/>
  </r>
  <r>
    <s v="RAYANE"/>
    <n v="460"/>
    <x v="5"/>
    <d v="2025-08-20T00:00:00"/>
    <x v="3"/>
  </r>
  <r>
    <s v="ENERGIA"/>
    <n v="540"/>
    <x v="5"/>
    <d v="2025-08-21T00:00:00"/>
    <x v="7"/>
  </r>
  <r>
    <s v="GASTROCENTER"/>
    <n v="280"/>
    <x v="5"/>
    <d v="2025-08-21T00:00:00"/>
    <x v="7"/>
  </r>
  <r>
    <s v="TOP"/>
    <n v="540"/>
    <x v="5"/>
    <d v="2025-08-21T00:00:00"/>
    <x v="7"/>
  </r>
  <r>
    <s v="BLOGUEIRA"/>
    <n v="300"/>
    <x v="5"/>
    <d v="2025-08-21T00:00:00"/>
    <x v="4"/>
  </r>
  <r>
    <s v="DR JORGE"/>
    <n v="750"/>
    <x v="5"/>
    <d v="2025-08-21T00:00:00"/>
    <x v="6"/>
  </r>
  <r>
    <s v="VIGILANTE"/>
    <n v="200"/>
    <x v="5"/>
    <d v="2025-08-21T00:00:00"/>
    <x v="18"/>
  </r>
  <r>
    <s v="TROCO"/>
    <n v="15"/>
    <x v="5"/>
    <d v="2025-08-21T00:00:00"/>
    <x v="8"/>
  </r>
  <r>
    <s v="SEGURO"/>
    <n v="645"/>
    <x v="5"/>
    <d v="2025-08-21T00:00:00"/>
    <x v="19"/>
  </r>
  <r>
    <s v="ENERGIA"/>
    <n v="787"/>
    <x v="5"/>
    <d v="2025-08-21T00:00:00"/>
    <x v="21"/>
  </r>
  <r>
    <s v="NAT USG"/>
    <n v="1138"/>
    <x v="5"/>
    <d v="2025-08-21T00:00:00"/>
    <x v="3"/>
  </r>
  <r>
    <s v="DR TIAGO"/>
    <n v="740"/>
    <x v="5"/>
    <d v="2025-08-21T00:00:00"/>
    <x v="3"/>
  </r>
  <r>
    <s v="LAB MOREES"/>
    <n v="16298.38"/>
    <x v="5"/>
    <d v="2025-08-21T00:00:00"/>
    <x v="5"/>
  </r>
  <r>
    <s v="CARRO BIA"/>
    <n v="1700"/>
    <x v="5"/>
    <d v="2025-08-21T00:00:00"/>
    <x v="20"/>
  </r>
  <r>
    <s v="RODRIGO"/>
    <n v="30"/>
    <x v="5"/>
    <d v="2025-08-21T00:00:00"/>
    <x v="6"/>
  </r>
  <r>
    <s v="UBER"/>
    <n v="35"/>
    <x v="5"/>
    <d v="2025-08-21T00:00:00"/>
    <x v="6"/>
  </r>
  <r>
    <s v="TRAFEGO"/>
    <n v="1500"/>
    <x v="5"/>
    <d v="2025-08-21T00:00:00"/>
    <x v="4"/>
  </r>
  <r>
    <s v="TRAFEGO"/>
    <n v="746"/>
    <x v="5"/>
    <d v="2025-08-21T00:00:00"/>
    <x v="4"/>
  </r>
  <r>
    <s v="GASTROCENTER"/>
    <n v="460"/>
    <x v="5"/>
    <d v="2025-08-22T00:00:00"/>
    <x v="7"/>
  </r>
  <r>
    <s v="TOP"/>
    <n v="540"/>
    <x v="5"/>
    <d v="2025-08-22T00:00:00"/>
    <x v="7"/>
  </r>
  <r>
    <s v="TROCO"/>
    <n v="18"/>
    <x v="5"/>
    <d v="2025-08-23T00:00:00"/>
    <x v="8"/>
  </r>
  <r>
    <s v="ESTORNO"/>
    <n v="55"/>
    <x v="5"/>
    <d v="2025-08-23T00:00:00"/>
    <x v="9"/>
  </r>
  <r>
    <s v="ESTORNO"/>
    <n v="5"/>
    <x v="5"/>
    <d v="2025-08-23T00:00:00"/>
    <x v="9"/>
  </r>
  <r>
    <s v="CAMILLA"/>
    <n v="100"/>
    <x v="5"/>
    <d v="2025-08-23T00:00:00"/>
    <x v="3"/>
  </r>
  <r>
    <s v="TACIANA"/>
    <n v="700"/>
    <x v="5"/>
    <d v="2025-08-23T00:00:00"/>
    <x v="3"/>
  </r>
  <r>
    <s v="FAXINA"/>
    <n v="170"/>
    <x v="5"/>
    <d v="2025-08-23T00:00:00"/>
    <x v="15"/>
  </r>
  <r>
    <s v="CURSO"/>
    <n v="180"/>
    <x v="5"/>
    <d v="2025-08-24T00:00:00"/>
    <x v="6"/>
  </r>
  <r>
    <s v="GASTROCENTER"/>
    <n v="280"/>
    <x v="5"/>
    <d v="2025-08-25T00:00:00"/>
    <x v="7"/>
  </r>
  <r>
    <s v="SITE"/>
    <n v="36"/>
    <x v="5"/>
    <d v="2025-08-25T00:00:00"/>
    <x v="4"/>
  </r>
  <r>
    <s v="TROCO"/>
    <n v="64.349999999999994"/>
    <x v="5"/>
    <d v="2025-08-25T00:00:00"/>
    <x v="8"/>
  </r>
  <r>
    <s v="GRAFICA"/>
    <n v="1700"/>
    <x v="5"/>
    <d v="2025-08-25T00:00:00"/>
    <x v="1"/>
  </r>
  <r>
    <s v="SISTEMA"/>
    <n v="1000"/>
    <x v="5"/>
    <d v="2025-08-25T00:00:00"/>
    <x v="17"/>
  </r>
  <r>
    <s v="ARTUR FISIO"/>
    <n v="400"/>
    <x v="5"/>
    <d v="2025-08-25T00:00:00"/>
    <x v="3"/>
  </r>
  <r>
    <s v="ODON"/>
    <n v="640"/>
    <x v="5"/>
    <d v="2025-08-25T00:00:00"/>
    <x v="3"/>
  </r>
  <r>
    <s v="JAIRO"/>
    <n v="275"/>
    <x v="5"/>
    <d v="2025-08-26T00:00:00"/>
    <x v="7"/>
  </r>
  <r>
    <s v="PAI"/>
    <n v="743"/>
    <x v="5"/>
    <d v="2025-08-26T00:00:00"/>
    <x v="6"/>
  </r>
  <r>
    <s v="ESTORNO"/>
    <n v="100"/>
    <x v="5"/>
    <d v="2025-08-26T00:00:00"/>
    <x v="9"/>
  </r>
  <r>
    <s v="LETICIA"/>
    <n v="830"/>
    <x v="5"/>
    <d v="2025-08-26T00:00:00"/>
    <x v="3"/>
  </r>
  <r>
    <s v="SUEYENE"/>
    <n v="788"/>
    <x v="5"/>
    <d v="2025-08-26T00:00:00"/>
    <x v="3"/>
  </r>
  <r>
    <s v="RAISSA"/>
    <n v="370"/>
    <x v="5"/>
    <d v="2025-08-26T00:00:00"/>
    <x v="3"/>
  </r>
  <r>
    <s v="PREV IMAGEM"/>
    <n v="2320"/>
    <x v="5"/>
    <d v="2025-08-27T00:00:00"/>
    <x v="7"/>
  </r>
  <r>
    <s v="TOP"/>
    <n v="360"/>
    <x v="5"/>
    <d v="2025-08-27T00:00:00"/>
    <x v="7"/>
  </r>
  <r>
    <s v="AGUA"/>
    <n v="20"/>
    <x v="5"/>
    <d v="2025-08-27T00:00:00"/>
    <x v="6"/>
  </r>
  <r>
    <s v="FISIO"/>
    <n v="80"/>
    <x v="5"/>
    <d v="2025-08-27T00:00:00"/>
    <x v="3"/>
  </r>
  <r>
    <s v="GASTROCENTER"/>
    <n v="740"/>
    <x v="5"/>
    <d v="2025-08-28T00:00:00"/>
    <x v="7"/>
  </r>
  <r>
    <s v="TOP"/>
    <n v="50"/>
    <x v="5"/>
    <d v="2025-08-28T00:00:00"/>
    <x v="7"/>
  </r>
  <r>
    <s v="CERTIFICADO"/>
    <n v="150"/>
    <x v="5"/>
    <d v="2025-08-28T00:00:00"/>
    <x v="6"/>
  </r>
  <r>
    <s v="PAI"/>
    <n v="743"/>
    <x v="5"/>
    <d v="2025-08-28T00:00:00"/>
    <x v="6"/>
  </r>
  <r>
    <s v="SORO"/>
    <n v="45"/>
    <x v="5"/>
    <d v="2025-08-28T00:00:00"/>
    <x v="6"/>
  </r>
  <r>
    <s v="ANDRE"/>
    <n v="780"/>
    <x v="5"/>
    <d v="2025-08-28T00:00:00"/>
    <x v="3"/>
  </r>
  <r>
    <s v="IONE"/>
    <n v="50"/>
    <x v="5"/>
    <d v="2025-08-28T00:00:00"/>
    <x v="0"/>
  </r>
  <r>
    <s v="UBER"/>
    <n v="25"/>
    <x v="5"/>
    <d v="2025-08-28T00:00:00"/>
    <x v="6"/>
  </r>
  <r>
    <s v="UBER"/>
    <n v="50"/>
    <x v="5"/>
    <d v="2025-08-28T00:00:00"/>
    <x v="6"/>
  </r>
  <r>
    <s v="TRAFEGO"/>
    <n v="40"/>
    <x v="5"/>
    <d v="2025-08-28T00:00:00"/>
    <x v="4"/>
  </r>
  <r>
    <s v="UBER"/>
    <n v="25"/>
    <x v="5"/>
    <d v="2025-08-29T00:00:00"/>
    <x v="6"/>
  </r>
  <r>
    <s v="RAIANA"/>
    <n v="879.2"/>
    <x v="5"/>
    <d v="2025-08-29T00:00:00"/>
    <x v="3"/>
  </r>
  <r>
    <s v="RAIANA"/>
    <n v="40"/>
    <x v="5"/>
    <d v="2025-08-29T00:00:00"/>
    <x v="3"/>
  </r>
  <r>
    <s v="IONE"/>
    <n v="200"/>
    <x v="5"/>
    <d v="2025-08-29T00:00:00"/>
    <x v="0"/>
  </r>
  <r>
    <s v="EMPRESTIMO"/>
    <n v="6000"/>
    <x v="5"/>
    <d v="2025-08-29T00:00:00"/>
    <x v="20"/>
  </r>
  <r>
    <s v="TRAFEGO"/>
    <n v="826"/>
    <x v="5"/>
    <d v="2025-08-29T00:00:00"/>
    <x v="4"/>
  </r>
  <r>
    <s v="RAYANE"/>
    <n v="960"/>
    <x v="5"/>
    <d v="2025-08-30T00:00:00"/>
    <x v="3"/>
  </r>
  <r>
    <s v="taciana"/>
    <n v="1185"/>
    <x v="5"/>
    <d v="2025-08-30T00:00:00"/>
    <x v="3"/>
  </r>
  <r>
    <s v="BRUNA"/>
    <n v="170"/>
    <x v="5"/>
    <d v="2025-08-30T00:00:00"/>
    <x v="15"/>
  </r>
  <r>
    <s v="GASTROCENTER"/>
    <n v="280"/>
    <x v="6"/>
    <d v="2025-09-01T00:00:00"/>
    <x v="7"/>
  </r>
  <r>
    <s v="TOP"/>
    <n v="130"/>
    <x v="6"/>
    <d v="2025-09-01T00:00:00"/>
    <x v="7"/>
  </r>
  <r>
    <s v="RODRIGO"/>
    <n v="1500"/>
    <x v="6"/>
    <d v="2025-09-01T00:00:00"/>
    <x v="0"/>
  </r>
  <r>
    <s v="VR RAQUEL"/>
    <n v="246"/>
    <x v="6"/>
    <d v="2025-09-01T00:00:00"/>
    <x v="0"/>
  </r>
  <r>
    <s v="VR IONE"/>
    <n v="451"/>
    <x v="6"/>
    <d v="2025-09-01T00:00:00"/>
    <x v="0"/>
  </r>
  <r>
    <s v="VR MAYARA"/>
    <n v="451"/>
    <x v="6"/>
    <d v="2025-09-01T00:00:00"/>
    <x v="0"/>
  </r>
  <r>
    <s v="VT MAYARA"/>
    <n v="206.4"/>
    <x v="6"/>
    <d v="2025-09-01T00:00:00"/>
    <x v="0"/>
  </r>
  <r>
    <s v="VT IONE"/>
    <n v="103.2"/>
    <x v="6"/>
    <d v="2025-09-01T00:00:00"/>
    <x v="0"/>
  </r>
  <r>
    <s v="CAMILLA"/>
    <n v="100"/>
    <x v="6"/>
    <d v="2025-09-01T00:00:00"/>
    <x v="3"/>
  </r>
  <r>
    <s v="GILETE"/>
    <n v="9"/>
    <x v="6"/>
    <d v="2025-09-01T00:00:00"/>
    <x v="1"/>
  </r>
  <r>
    <s v="VR VITORIA"/>
    <n v="451"/>
    <x v="6"/>
    <d v="2025-09-01T00:00:00"/>
    <x v="0"/>
  </r>
  <r>
    <s v="VT VITORIA"/>
    <n v="185"/>
    <x v="6"/>
    <d v="2025-09-01T00:00:00"/>
    <x v="0"/>
  </r>
  <r>
    <s v="FISIO"/>
    <n v="40"/>
    <x v="6"/>
    <d v="2025-09-01T00:00:00"/>
    <x v="3"/>
  </r>
  <r>
    <s v="RAIANA"/>
    <n v="540"/>
    <x v="6"/>
    <d v="2025-09-01T00:00:00"/>
    <x v="3"/>
  </r>
  <r>
    <s v="PONTO"/>
    <n v="600"/>
    <x v="6"/>
    <d v="2025-09-01T00:00:00"/>
    <x v="6"/>
  </r>
  <r>
    <s v="TOXICOLOGICO"/>
    <n v="330"/>
    <x v="6"/>
    <d v="2025-09-01T00:00:00"/>
    <x v="7"/>
  </r>
  <r>
    <s v="PANFLETAGEM"/>
    <n v="60"/>
    <x v="6"/>
    <d v="2025-09-02T00:00:00"/>
    <x v="4"/>
  </r>
  <r>
    <s v="SETEMBRO AMARELO"/>
    <n v="153"/>
    <x v="6"/>
    <d v="2025-09-02T00:00:00"/>
    <x v="4"/>
  </r>
  <r>
    <s v="VITORIA"/>
    <n v="800"/>
    <x v="6"/>
    <d v="2025-09-02T00:00:00"/>
    <x v="0"/>
  </r>
  <r>
    <s v="RAQUEL"/>
    <n v="1724"/>
    <x v="6"/>
    <d v="2025-09-02T00:00:00"/>
    <x v="0"/>
  </r>
  <r>
    <s v="RAQUEL"/>
    <n v="126"/>
    <x v="6"/>
    <d v="2025-09-02T00:00:00"/>
    <x v="0"/>
  </r>
  <r>
    <s v="IMPOSTO"/>
    <n v="390"/>
    <x v="6"/>
    <d v="2025-09-02T00:00:00"/>
    <x v="16"/>
  </r>
  <r>
    <s v="PH"/>
    <n v="945"/>
    <x v="6"/>
    <d v="2025-09-02T00:00:00"/>
    <x v="0"/>
  </r>
  <r>
    <s v="FISIO"/>
    <n v="40"/>
    <x v="6"/>
    <d v="2025-09-02T00:00:00"/>
    <x v="3"/>
  </r>
  <r>
    <s v="RODRIGO"/>
    <n v="840"/>
    <x v="6"/>
    <d v="2025-09-02T00:00:00"/>
    <x v="0"/>
  </r>
  <r>
    <s v="SUEYENE"/>
    <n v="692"/>
    <x v="6"/>
    <d v="2025-09-02T00:00:00"/>
    <x v="3"/>
  </r>
  <r>
    <s v="DANIELA"/>
    <n v="525"/>
    <x v="6"/>
    <d v="2025-09-02T00:00:00"/>
    <x v="3"/>
  </r>
  <r>
    <s v="ESTORNO"/>
    <n v="120"/>
    <x v="6"/>
    <d v="2025-09-02T00:00:00"/>
    <x v="9"/>
  </r>
  <r>
    <s v="UBER"/>
    <n v="23"/>
    <x v="6"/>
    <d v="2025-09-02T00:00:00"/>
    <x v="6"/>
  </r>
  <r>
    <s v="SETEMBRO AMARELO"/>
    <n v="21.85"/>
    <x v="6"/>
    <d v="2025-09-03T00:00:00"/>
    <x v="4"/>
  </r>
  <r>
    <s v="SETEMBRO AMARELO"/>
    <n v="25"/>
    <x v="6"/>
    <d v="2025-09-03T00:00:00"/>
    <x v="4"/>
  </r>
  <r>
    <s v="BIA"/>
    <n v="32"/>
    <x v="6"/>
    <d v="2025-09-03T00:00:00"/>
    <x v="6"/>
  </r>
  <r>
    <s v="NAT USG"/>
    <n v="515"/>
    <x v="6"/>
    <d v="2025-09-03T00:00:00"/>
    <x v="3"/>
  </r>
  <r>
    <s v="BIA"/>
    <n v="4000"/>
    <x v="6"/>
    <d v="2025-09-03T00:00:00"/>
    <x v="0"/>
  </r>
  <r>
    <s v="PATRICIA"/>
    <n v="2000"/>
    <x v="6"/>
    <d v="2025-09-03T00:00:00"/>
    <x v="0"/>
  </r>
  <r>
    <s v="ANDRE"/>
    <n v="840"/>
    <x v="6"/>
    <d v="2025-09-03T00:00:00"/>
    <x v="3"/>
  </r>
  <r>
    <s v="LEALDO"/>
    <n v="875"/>
    <x v="6"/>
    <d v="2025-09-03T00:00:00"/>
    <x v="3"/>
  </r>
  <r>
    <s v="PAPEL"/>
    <n v="220"/>
    <x v="6"/>
    <d v="2025-09-03T00:00:00"/>
    <x v="6"/>
  </r>
  <r>
    <s v="UBER"/>
    <n v="60"/>
    <x v="6"/>
    <d v="2025-09-03T00:00:00"/>
    <x v="6"/>
  </r>
  <r>
    <s v="TOP"/>
    <n v="470"/>
    <x v="6"/>
    <d v="2025-09-04T00:00:00"/>
    <x v="7"/>
  </r>
  <r>
    <s v="ERLON"/>
    <n v="200"/>
    <x v="6"/>
    <d v="2025-09-04T00:00:00"/>
    <x v="4"/>
  </r>
  <r>
    <s v="VT"/>
    <n v="10"/>
    <x v="6"/>
    <d v="2025-09-04T00:00:00"/>
    <x v="0"/>
  </r>
  <r>
    <s v="ESTORNO"/>
    <n v="325"/>
    <x v="6"/>
    <d v="2025-09-04T00:00:00"/>
    <x v="9"/>
  </r>
  <r>
    <s v="TIAGO"/>
    <n v="1418.8"/>
    <x v="6"/>
    <d v="2025-09-04T00:00:00"/>
    <x v="3"/>
  </r>
  <r>
    <s v="AGUA"/>
    <n v="20"/>
    <x v="6"/>
    <d v="2025-09-04T00:00:00"/>
    <x v="1"/>
  </r>
  <r>
    <s v="CARTAO ICADO"/>
    <n v="690"/>
    <x v="6"/>
    <d v="2025-09-04T00:00:00"/>
    <x v="6"/>
  </r>
  <r>
    <s v="TOXICOLOGICO"/>
    <n v="450"/>
    <x v="6"/>
    <d v="2025-09-04T00:00:00"/>
    <x v="7"/>
  </r>
  <r>
    <s v="PROCTOLOGISTA"/>
    <n v="100"/>
    <x v="6"/>
    <d v="2025-09-05T00:00:00"/>
    <x v="7"/>
  </r>
  <r>
    <s v="TOP"/>
    <n v="430"/>
    <x v="6"/>
    <d v="2025-09-05T00:00:00"/>
    <x v="7"/>
  </r>
  <r>
    <s v="BLOGUEIRA"/>
    <n v="300"/>
    <x v="6"/>
    <d v="2025-09-05T00:00:00"/>
    <x v="4"/>
  </r>
  <r>
    <s v="INSUMOS"/>
    <n v="326.75"/>
    <x v="6"/>
    <d v="2025-09-05T00:00:00"/>
    <x v="1"/>
  </r>
  <r>
    <s v="TUBOS"/>
    <n v="215"/>
    <x v="6"/>
    <d v="2025-09-05T00:00:00"/>
    <x v="1"/>
  </r>
  <r>
    <s v="ARTUR FISIO"/>
    <n v="520"/>
    <x v="6"/>
    <d v="2025-09-05T00:00:00"/>
    <x v="3"/>
  </r>
  <r>
    <s v="TRAFEGO"/>
    <n v="966"/>
    <x v="6"/>
    <d v="2025-09-05T00:00:00"/>
    <x v="4"/>
  </r>
  <r>
    <s v="ALMOCO"/>
    <n v="80"/>
    <x v="6"/>
    <d v="2025-09-06T00:00:00"/>
    <x v="6"/>
  </r>
  <r>
    <s v="TACIANA"/>
    <n v="1145"/>
    <x v="6"/>
    <d v="2025-09-06T00:00:00"/>
    <x v="3"/>
  </r>
  <r>
    <s v="RODRIGO"/>
    <n v="150"/>
    <x v="6"/>
    <d v="2025-09-06T00:00:00"/>
    <x v="0"/>
  </r>
  <r>
    <s v="ESTORNO"/>
    <n v="200"/>
    <x v="6"/>
    <d v="2025-09-06T00:00:00"/>
    <x v="9"/>
  </r>
  <r>
    <s v="TROCO"/>
    <n v="10"/>
    <x v="6"/>
    <d v="2025-09-06T00:00:00"/>
    <x v="8"/>
  </r>
  <r>
    <s v="LIMPEZA"/>
    <n v="66"/>
    <x v="6"/>
    <d v="2025-09-06T00:00:00"/>
    <x v="6"/>
  </r>
  <r>
    <s v="CADEIRA DE RODAS"/>
    <n v="720"/>
    <x v="6"/>
    <d v="2025-09-08T00:00:00"/>
    <x v="6"/>
  </r>
  <r>
    <s v="PIX"/>
    <n v="12.36"/>
    <x v="6"/>
    <d v="2025-09-08T00:00:00"/>
    <x v="25"/>
  </r>
  <r>
    <s v="ALUGUEL"/>
    <n v="5000"/>
    <x v="6"/>
    <d v="2025-09-08T00:00:00"/>
    <x v="11"/>
  </r>
  <r>
    <s v="CAMILLA"/>
    <n v="150"/>
    <x v="6"/>
    <d v="2025-09-08T00:00:00"/>
    <x v="3"/>
  </r>
  <r>
    <s v="LUANA"/>
    <n v="179"/>
    <x v="6"/>
    <d v="2025-09-08T00:00:00"/>
    <x v="1"/>
  </r>
  <r>
    <s v="RAISSA"/>
    <n v="940"/>
    <x v="6"/>
    <d v="2025-09-08T00:00:00"/>
    <x v="3"/>
  </r>
  <r>
    <s v="RODRIGO"/>
    <n v="30"/>
    <x v="6"/>
    <d v="2025-09-08T00:00:00"/>
    <x v="0"/>
  </r>
  <r>
    <s v="JUROS CHEQUE"/>
    <n v="486"/>
    <x v="6"/>
    <d v="2025-09-08T00:00:00"/>
    <x v="6"/>
  </r>
  <r>
    <s v="JUROS CHEQUE"/>
    <n v="36"/>
    <x v="6"/>
    <d v="2025-09-08T00:00:00"/>
    <x v="6"/>
  </r>
  <r>
    <s v="TOXICOLOGICO"/>
    <n v="165"/>
    <x v="6"/>
    <d v="2025-09-08T00:00:00"/>
    <x v="7"/>
  </r>
  <r>
    <s v="TOP"/>
    <n v="40"/>
    <x v="6"/>
    <d v="2025-09-09T00:00:00"/>
    <x v="7"/>
  </r>
  <r>
    <s v="MEDICAL"/>
    <n v="85"/>
    <x v="6"/>
    <d v="2025-09-09T00:00:00"/>
    <x v="1"/>
  </r>
  <r>
    <s v="ARTUR FISIO"/>
    <n v="80"/>
    <x v="6"/>
    <d v="2025-09-09T00:00:00"/>
    <x v="3"/>
  </r>
  <r>
    <s v="odon"/>
    <n v="1200"/>
    <x v="6"/>
    <d v="2025-09-09T00:00:00"/>
    <x v="3"/>
  </r>
  <r>
    <s v="RAYANE"/>
    <n v="1120"/>
    <x v="6"/>
    <d v="2025-09-09T00:00:00"/>
    <x v="3"/>
  </r>
  <r>
    <s v="BRASCON"/>
    <n v="204"/>
    <x v="6"/>
    <d v="2025-09-10T00:00:00"/>
    <x v="6"/>
  </r>
  <r>
    <s v="ARTUR FISIO"/>
    <n v="400"/>
    <x v="6"/>
    <d v="2025-09-10T00:00:00"/>
    <x v="3"/>
  </r>
  <r>
    <s v="ALINE"/>
    <n v="200"/>
    <x v="6"/>
    <d v="2025-09-10T00:00:00"/>
    <x v="3"/>
  </r>
  <r>
    <s v="DR LETICIA"/>
    <n v="1020"/>
    <x v="6"/>
    <d v="2025-09-10T00:00:00"/>
    <x v="3"/>
  </r>
  <r>
    <s v="INDIRA"/>
    <n v="1160"/>
    <x v="6"/>
    <d v="2025-09-10T00:00:00"/>
    <x v="3"/>
  </r>
  <r>
    <s v="ESTORNO"/>
    <n v="70"/>
    <x v="6"/>
    <d v="2025-09-10T00:00:00"/>
    <x v="3"/>
  </r>
  <r>
    <s v="ALMOCO"/>
    <n v="43"/>
    <x v="6"/>
    <d v="2025-09-10T00:00:00"/>
    <x v="0"/>
  </r>
  <r>
    <s v="TOP"/>
    <n v="430"/>
    <x v="6"/>
    <d v="2025-09-10T00:00:00"/>
    <x v="1"/>
  </r>
  <r>
    <s v="PAPEL"/>
    <n v="433"/>
    <x v="6"/>
    <d v="2025-09-10T00:00:00"/>
    <x v="1"/>
  </r>
  <r>
    <s v="TROCO"/>
    <n v="10"/>
    <x v="6"/>
    <d v="2025-09-10T00:00:00"/>
    <x v="8"/>
  </r>
  <r>
    <s v="RODRIGO"/>
    <n v="4570"/>
    <x v="6"/>
    <d v="2025-09-10T00:00:00"/>
    <x v="10"/>
  </r>
  <r>
    <s v="PILHA MAPA"/>
    <n v="40"/>
    <x v="6"/>
    <d v="2025-09-10T00:00:00"/>
    <x v="1"/>
  </r>
  <r>
    <s v="NATHALIA"/>
    <n v="725"/>
    <x v="6"/>
    <d v="2025-09-10T00:00:00"/>
    <x v="3"/>
  </r>
  <r>
    <s v="RAQUEL"/>
    <n v="10"/>
    <x v="6"/>
    <d v="2025-09-10T00:00:00"/>
    <x v="0"/>
  </r>
  <r>
    <s v="TROCO"/>
    <n v="10"/>
    <x v="6"/>
    <d v="2025-09-10T00:00:00"/>
    <x v="8"/>
  </r>
  <r>
    <s v="ANDRE"/>
    <n v="1140"/>
    <x v="6"/>
    <d v="2025-09-10T00:00:00"/>
    <x v="3"/>
  </r>
  <r>
    <s v="RODRIGO"/>
    <n v="450"/>
    <x v="6"/>
    <d v="2025-09-10T00:00:00"/>
    <x v="0"/>
  </r>
  <r>
    <s v="TRAFEGO"/>
    <n v="590"/>
    <x v="6"/>
    <d v="2025-09-10T00:00:00"/>
    <x v="4"/>
  </r>
  <r>
    <s v="TOP"/>
    <n v="430"/>
    <x v="6"/>
    <d v="2025-09-11T00:00:00"/>
    <x v="7"/>
  </r>
  <r>
    <s v="DR THIAGO"/>
    <n v="1150"/>
    <x v="6"/>
    <d v="2025-09-11T00:00:00"/>
    <x v="3"/>
  </r>
  <r>
    <s v="CONSORCIO "/>
    <n v="1400"/>
    <x v="6"/>
    <d v="2025-09-11T00:00:00"/>
    <x v="20"/>
  </r>
  <r>
    <s v="PAPEL"/>
    <n v="275"/>
    <x v="6"/>
    <d v="2025-09-11T00:00:00"/>
    <x v="1"/>
  </r>
  <r>
    <s v="NUTRI"/>
    <n v="80"/>
    <x v="6"/>
    <d v="2025-09-11T00:00:00"/>
    <x v="3"/>
  </r>
  <r>
    <s v="TROCO"/>
    <n v="25"/>
    <x v="6"/>
    <d v="2025-09-11T00:00:00"/>
    <x v="8"/>
  </r>
  <r>
    <s v="ULTRAMEGA"/>
    <n v="419"/>
    <x v="6"/>
    <d v="2025-09-11T00:00:00"/>
    <x v="1"/>
  </r>
  <r>
    <s v="ENERGIA"/>
    <n v="120"/>
    <x v="6"/>
    <d v="2025-09-11T00:00:00"/>
    <x v="21"/>
  </r>
  <r>
    <s v="GRAFICA"/>
    <n v="150"/>
    <x v="6"/>
    <d v="2025-09-11T00:00:00"/>
    <x v="1"/>
  </r>
  <r>
    <s v="FISIO"/>
    <n v="40"/>
    <x v="6"/>
    <d v="2025-09-12T00:00:00"/>
    <x v="3"/>
  </r>
  <r>
    <s v="holter"/>
    <n v="580"/>
    <x v="6"/>
    <d v="2025-09-12T00:00:00"/>
    <x v="26"/>
  </r>
  <r>
    <s v="PINCA"/>
    <n v="100"/>
    <x v="6"/>
    <d v="2025-09-12T00:00:00"/>
    <x v="1"/>
  </r>
  <r>
    <s v="ESTORNO"/>
    <n v="40"/>
    <x v="6"/>
    <d v="2025-09-12T00:00:00"/>
    <x v="9"/>
  </r>
  <r>
    <s v="AGUA"/>
    <n v="20"/>
    <x v="6"/>
    <d v="2025-09-12T00:00:00"/>
    <x v="1"/>
  </r>
  <r>
    <s v="manutencao"/>
    <n v="800"/>
    <x v="6"/>
    <d v="2025-09-12T00:00:00"/>
    <x v="6"/>
  </r>
  <r>
    <s v="TRAFEGO"/>
    <n v="826"/>
    <x v="6"/>
    <d v="2025-09-12T00:00:00"/>
    <x v="4"/>
  </r>
  <r>
    <s v="RAYANE"/>
    <n v="510"/>
    <x v="6"/>
    <d v="2025-09-13T00:00:00"/>
    <x v="3"/>
  </r>
  <r>
    <s v="BRUNA"/>
    <n v="170"/>
    <x v="6"/>
    <d v="2025-09-13T00:00:00"/>
    <x v="15"/>
  </r>
  <r>
    <s v="ESTORNO"/>
    <n v="150"/>
    <x v="6"/>
    <d v="2025-09-13T00:00:00"/>
    <x v="9"/>
  </r>
  <r>
    <s v="TROCO"/>
    <n v="25"/>
    <x v="6"/>
    <d v="2025-09-13T00:00:00"/>
    <x v="8"/>
  </r>
  <r>
    <s v="FAST"/>
    <n v="1500"/>
    <x v="6"/>
    <d v="2025-09-13T00:00:00"/>
    <x v="24"/>
  </r>
  <r>
    <s v="TACIANA"/>
    <n v="1605"/>
    <x v="6"/>
    <d v="2025-09-13T00:00:00"/>
    <x v="3"/>
  </r>
  <r>
    <s v="INSUMOS"/>
    <n v="600"/>
    <x v="6"/>
    <d v="2025-09-13T00:00:00"/>
    <x v="1"/>
  </r>
  <r>
    <s v="TROCO"/>
    <n v="20"/>
    <x v="6"/>
    <d v="2025-09-14T00:00:00"/>
    <x v="8"/>
  </r>
  <r>
    <s v="ALINE"/>
    <n v="150"/>
    <x v="6"/>
    <d v="2025-09-14T00:00:00"/>
    <x v="3"/>
  </r>
  <r>
    <s v="IMPOSTO"/>
    <n v="1176.3800000000001"/>
    <x v="6"/>
    <d v="2025-09-14T00:00:00"/>
    <x v="16"/>
  </r>
  <r>
    <s v="GASTROCENTER"/>
    <n v="280"/>
    <x v="6"/>
    <d v="2025-09-15T00:00:00"/>
    <x v="7"/>
  </r>
  <r>
    <s v="ESTORNO"/>
    <n v="120"/>
    <x v="6"/>
    <d v="2025-09-15T00:00:00"/>
    <x v="9"/>
  </r>
  <r>
    <s v="ESTORNO"/>
    <n v="284"/>
    <x v="6"/>
    <d v="2025-09-15T00:00:00"/>
    <x v="9"/>
  </r>
  <r>
    <s v="MORAES"/>
    <n v="14934.46"/>
    <x v="6"/>
    <d v="2025-09-15T00:00:00"/>
    <x v="5"/>
  </r>
  <r>
    <s v="ESTORNO"/>
    <n v="70"/>
    <x v="6"/>
    <d v="2025-09-15T00:00:00"/>
    <x v="9"/>
  </r>
  <r>
    <s v="RAIANA"/>
    <n v="820"/>
    <x v="6"/>
    <d v="2025-09-15T00:00:00"/>
    <x v="3"/>
  </r>
  <r>
    <s v="ARTUR FISIO"/>
    <n v="40"/>
    <x v="6"/>
    <d v="2025-09-15T00:00:00"/>
    <x v="3"/>
  </r>
  <r>
    <s v="CAMILLA"/>
    <n v="100"/>
    <x v="6"/>
    <d v="2025-09-15T00:00:00"/>
    <x v="3"/>
  </r>
  <r>
    <s v="ODON"/>
    <n v="550"/>
    <x v="6"/>
    <d v="2025-09-15T00:00:00"/>
    <x v="3"/>
  </r>
  <r>
    <s v="TRAFEGO"/>
    <n v="1512"/>
    <x v="6"/>
    <d v="2025-09-15T00:00:00"/>
    <x v="4"/>
  </r>
  <r>
    <s v="GASTROCENTER"/>
    <n v="280"/>
    <x v="6"/>
    <d v="2025-09-16T00:00:00"/>
    <x v="7"/>
  </r>
  <r>
    <s v="PIRULITO"/>
    <n v="100"/>
    <x v="6"/>
    <d v="2025-09-16T00:00:00"/>
    <x v="4"/>
  </r>
  <r>
    <s v="COLCHAO"/>
    <n v="200"/>
    <x v="6"/>
    <d v="2025-09-16T00:00:00"/>
    <x v="6"/>
  </r>
  <r>
    <s v="ARTUR FISIO"/>
    <n v="40"/>
    <x v="6"/>
    <d v="2025-09-16T00:00:00"/>
    <x v="3"/>
  </r>
  <r>
    <s v="COLER"/>
    <n v="151"/>
    <x v="6"/>
    <d v="2025-09-16T00:00:00"/>
    <x v="1"/>
  </r>
  <r>
    <s v="PIPETA"/>
    <n v="13"/>
    <x v="6"/>
    <d v="2025-09-16T00:00:00"/>
    <x v="1"/>
  </r>
  <r>
    <s v="TROCO"/>
    <n v="10"/>
    <x v="6"/>
    <d v="2025-09-16T00:00:00"/>
    <x v="8"/>
  </r>
  <r>
    <s v="ESTORNO"/>
    <n v="100"/>
    <x v="6"/>
    <d v="2025-09-16T00:00:00"/>
    <x v="9"/>
  </r>
  <r>
    <s v="TACIANA"/>
    <n v="930"/>
    <x v="6"/>
    <d v="2025-09-16T00:00:00"/>
    <x v="3"/>
  </r>
  <r>
    <s v="UBER"/>
    <n v="30"/>
    <x v="6"/>
    <d v="2025-09-16T00:00:00"/>
    <x v="6"/>
  </r>
  <r>
    <s v="CANCELAMENTO"/>
    <n v="149.5"/>
    <x v="6"/>
    <d v="2025-09-17T00:00:00"/>
    <x v="6"/>
  </r>
  <r>
    <s v="ESTORNO"/>
    <n v="189.5"/>
    <x v="6"/>
    <d v="2025-09-17T00:00:00"/>
    <x v="9"/>
  </r>
  <r>
    <s v="ESTORNO"/>
    <n v="100"/>
    <x v="6"/>
    <d v="2025-09-17T00:00:00"/>
    <x v="9"/>
  </r>
  <r>
    <s v="DANIELA"/>
    <n v="900"/>
    <x v="6"/>
    <d v="2025-09-17T00:00:00"/>
    <x v="3"/>
  </r>
  <r>
    <s v="NATHALIA"/>
    <n v="960"/>
    <x v="6"/>
    <d v="2025-09-17T00:00:00"/>
    <x v="3"/>
  </r>
  <r>
    <s v="LEALDO"/>
    <n v="1050"/>
    <x v="6"/>
    <d v="2025-09-17T00:00:00"/>
    <x v="3"/>
  </r>
  <r>
    <s v="ANDRE"/>
    <n v="1260"/>
    <x v="6"/>
    <d v="2025-09-17T00:00:00"/>
    <x v="3"/>
  </r>
  <r>
    <s v="SITE"/>
    <n v="40"/>
    <x v="6"/>
    <d v="2025-09-18T00:00:00"/>
    <x v="4"/>
  </r>
  <r>
    <s v="ALMOCO"/>
    <n v="100"/>
    <x v="6"/>
    <d v="2025-09-18T00:00:00"/>
    <x v="6"/>
  </r>
  <r>
    <s v="VIGILANTE"/>
    <n v="200"/>
    <x v="6"/>
    <d v="2025-09-18T00:00:00"/>
    <x v="27"/>
  </r>
  <r>
    <s v="JULIA"/>
    <n v="580"/>
    <x v="6"/>
    <d v="2025-09-18T00:00:00"/>
    <x v="3"/>
  </r>
  <r>
    <s v="THIAGO"/>
    <n v="800"/>
    <x v="6"/>
    <d v="2025-09-18T00:00:00"/>
    <x v="3"/>
  </r>
  <r>
    <s v="TROCO"/>
    <n v="20"/>
    <x v="6"/>
    <d v="2025-09-18T00:00:00"/>
    <x v="8"/>
  </r>
  <r>
    <s v="CESAR"/>
    <n v="772"/>
    <x v="6"/>
    <d v="2025-09-18T00:00:00"/>
    <x v="3"/>
  </r>
  <r>
    <s v="KENIO"/>
    <n v="990"/>
    <x v="6"/>
    <d v="2025-09-18T00:00:00"/>
    <x v="3"/>
  </r>
  <r>
    <s v="TOP"/>
    <n v="40"/>
    <x v="6"/>
    <d v="2025-09-19T00:00:00"/>
    <x v="7"/>
  </r>
  <r>
    <s v="ALINE"/>
    <n v="500"/>
    <x v="6"/>
    <d v="2025-09-19T00:00:00"/>
    <x v="3"/>
  </r>
  <r>
    <s v="ARTUR FISIO"/>
    <n v="160"/>
    <x v="6"/>
    <d v="2025-09-19T00:00:00"/>
    <x v="3"/>
  </r>
  <r>
    <s v="LIMPEZA"/>
    <n v="50"/>
    <x v="6"/>
    <d v="2025-09-19T00:00:00"/>
    <x v="1"/>
  </r>
  <r>
    <s v="AGUA"/>
    <n v="25"/>
    <x v="6"/>
    <d v="2025-09-19T00:00:00"/>
    <x v="1"/>
  </r>
  <r>
    <s v="PAI"/>
    <n v="170"/>
    <x v="6"/>
    <d v="2025-09-19T00:00:00"/>
    <x v="6"/>
  </r>
  <r>
    <s v="TRAFEGO"/>
    <n v="826"/>
    <x v="6"/>
    <d v="2025-09-19T00:00:00"/>
    <x v="4"/>
  </r>
  <r>
    <s v="CONSULTORIA"/>
    <n v="1750"/>
    <x v="6"/>
    <d v="2025-09-20T00:00:00"/>
    <x v="6"/>
  </r>
  <r>
    <s v="CAMILLA"/>
    <n v="200"/>
    <x v="6"/>
    <d v="2025-09-20T00:00:00"/>
    <x v="3"/>
  </r>
  <r>
    <s v="TACIANA"/>
    <n v="1430"/>
    <x v="6"/>
    <d v="2025-09-20T00:00:00"/>
    <x v="3"/>
  </r>
  <r>
    <s v="MOVEL"/>
    <n v="500"/>
    <x v="6"/>
    <d v="2025-09-20T00:00:00"/>
    <x v="1"/>
  </r>
  <r>
    <s v="SEGURO"/>
    <n v="644"/>
    <x v="6"/>
    <d v="2025-09-20T00:00:00"/>
    <x v="27"/>
  </r>
  <r>
    <s v="FAXINA"/>
    <n v="180"/>
    <x v="6"/>
    <d v="2025-09-21T00:00:00"/>
    <x v="15"/>
  </r>
  <r>
    <s v="ESTORNO"/>
    <n v="12"/>
    <x v="6"/>
    <d v="2025-09-22T00:00:00"/>
    <x v="7"/>
  </r>
  <r>
    <s v="SODRE"/>
    <n v="386.2"/>
    <x v="6"/>
    <d v="2025-09-22T00:00:00"/>
    <x v="7"/>
  </r>
  <r>
    <s v="TOP"/>
    <n v="430"/>
    <x v="6"/>
    <d v="2025-09-22T00:00:00"/>
    <x v="7"/>
  </r>
  <r>
    <s v="VERBA"/>
    <n v="303.5"/>
    <x v="6"/>
    <d v="2025-09-22T00:00:00"/>
    <x v="4"/>
  </r>
  <r>
    <s v="TOP"/>
    <n v="130"/>
    <x v="6"/>
    <d v="2025-09-23T00:00:00"/>
    <x v="7"/>
  </r>
  <r>
    <s v="TOP"/>
    <n v="40"/>
    <x v="6"/>
    <d v="2025-09-23T00:00:00"/>
    <x v="7"/>
  </r>
  <r>
    <s v="TOP"/>
    <n v="40"/>
    <x v="6"/>
    <d v="2025-09-23T00:00:00"/>
    <x v="7"/>
  </r>
  <r>
    <s v="CAMISAS"/>
    <n v="570"/>
    <x v="6"/>
    <d v="2025-09-23T00:00:00"/>
    <x v="6"/>
  </r>
  <r>
    <s v="TACIANA"/>
    <n v="920"/>
    <x v="6"/>
    <d v="2025-09-23T00:00:00"/>
    <x v="3"/>
  </r>
  <r>
    <s v="VT"/>
    <n v="241"/>
    <x v="6"/>
    <d v="2025-09-23T00:00:00"/>
    <x v="0"/>
  </r>
  <r>
    <s v="LETICIA"/>
    <n v="1560"/>
    <x v="6"/>
    <d v="2025-09-23T00:00:00"/>
    <x v="3"/>
  </r>
  <r>
    <s v="FISIO"/>
    <n v="160"/>
    <x v="6"/>
    <d v="2025-09-23T00:00:00"/>
    <x v="3"/>
  </r>
  <r>
    <s v="PREVIMAGEM"/>
    <n v="3180"/>
    <x v="6"/>
    <d v="2025-09-24T00:00:00"/>
    <x v="7"/>
  </r>
  <r>
    <s v="TOP"/>
    <n v="40"/>
    <x v="6"/>
    <d v="2025-09-24T00:00:00"/>
    <x v="7"/>
  </r>
  <r>
    <s v="RODRIGO"/>
    <n v="15"/>
    <x v="6"/>
    <d v="2025-09-24T00:00:00"/>
    <x v="0"/>
  </r>
  <r>
    <s v="ESTORNO"/>
    <n v="120"/>
    <x v="6"/>
    <d v="2025-09-24T00:00:00"/>
    <x v="9"/>
  </r>
  <r>
    <s v="ANDRE"/>
    <n v="1020"/>
    <x v="6"/>
    <d v="2025-09-24T00:00:00"/>
    <x v="3"/>
  </r>
  <r>
    <s v="FISO"/>
    <n v="80"/>
    <x v="6"/>
    <d v="2025-09-24T00:00:00"/>
    <x v="3"/>
  </r>
  <r>
    <s v="TOP"/>
    <n v="470"/>
    <x v="6"/>
    <d v="2025-09-25T00:00:00"/>
    <x v="7"/>
  </r>
  <r>
    <s v="BOLO"/>
    <n v="30"/>
    <x v="6"/>
    <d v="2025-09-25T00:00:00"/>
    <x v="6"/>
  </r>
  <r>
    <s v="CARIMBO"/>
    <n v="35"/>
    <x v="6"/>
    <d v="2025-09-25T00:00:00"/>
    <x v="6"/>
  </r>
  <r>
    <s v="ENERGIA"/>
    <n v="843"/>
    <x v="6"/>
    <d v="2025-09-25T00:00:00"/>
    <x v="21"/>
  </r>
  <r>
    <s v="ESTORNO"/>
    <n v="65"/>
    <x v="6"/>
    <d v="2025-09-25T00:00:00"/>
    <x v="9"/>
  </r>
  <r>
    <s v="KENIO"/>
    <n v="730"/>
    <x v="6"/>
    <d v="2025-09-25T00:00:00"/>
    <x v="3"/>
  </r>
  <r>
    <s v="MISAEL"/>
    <n v="996"/>
    <x v="6"/>
    <d v="2025-09-25T00:00:00"/>
    <x v="3"/>
  </r>
  <r>
    <s v="THIAGO"/>
    <n v="550"/>
    <x v="6"/>
    <d v="2025-09-25T00:00:00"/>
    <x v="3"/>
  </r>
  <r>
    <s v="ARTUR FISIO"/>
    <n v="80"/>
    <x v="6"/>
    <d v="2025-09-25T00:00:00"/>
    <x v="3"/>
  </r>
  <r>
    <s v="AGUA"/>
    <n v="20"/>
    <x v="6"/>
    <d v="2025-09-25T00:00:00"/>
    <x v="1"/>
  </r>
  <r>
    <s v="SODRE"/>
    <n v="220"/>
    <x v="6"/>
    <d v="2025-09-26T00:00:00"/>
    <x v="7"/>
  </r>
  <r>
    <s v="ESTORNO"/>
    <n v="125"/>
    <x v="6"/>
    <d v="2025-09-26T00:00:00"/>
    <x v="9"/>
  </r>
  <r>
    <s v="MEDICAL"/>
    <n v="109.61"/>
    <x v="6"/>
    <d v="2025-09-26T00:00:00"/>
    <x v="1"/>
  </r>
  <r>
    <s v="INSUMOS"/>
    <n v="150"/>
    <x v="6"/>
    <d v="2025-09-26T00:00:00"/>
    <x v="1"/>
  </r>
  <r>
    <s v="ESTORNO"/>
    <n v="78.5"/>
    <x v="6"/>
    <d v="2025-09-26T00:00:00"/>
    <x v="9"/>
  </r>
  <r>
    <s v="RAIANA"/>
    <n v="540"/>
    <x v="6"/>
    <d v="2025-09-26T00:00:00"/>
    <x v="3"/>
  </r>
  <r>
    <s v="MAQUINARIO"/>
    <n v="3100"/>
    <x v="6"/>
    <d v="2025-09-26T00:00:00"/>
    <x v="26"/>
  </r>
  <r>
    <s v="INSUMOS"/>
    <n v="1390"/>
    <x v="6"/>
    <d v="2025-09-26T00:00:00"/>
    <x v="1"/>
  </r>
  <r>
    <s v="TRAFEGO"/>
    <n v="830"/>
    <x v="6"/>
    <d v="2025-09-26T00:00:00"/>
    <x v="4"/>
  </r>
  <r>
    <s v="GASTROCENTER"/>
    <n v="245"/>
    <x v="6"/>
    <d v="2025-09-27T00:00:00"/>
    <x v="7"/>
  </r>
  <r>
    <s v="lembrancinha"/>
    <n v="270"/>
    <x v="6"/>
    <d v="2025-09-27T00:00:00"/>
    <x v="4"/>
  </r>
  <r>
    <s v="bolo"/>
    <n v="32"/>
    <x v="6"/>
    <d v="2025-09-27T00:00:00"/>
    <x v="6"/>
  </r>
  <r>
    <s v="impressao"/>
    <n v="12"/>
    <x v="6"/>
    <d v="2025-09-27T00:00:00"/>
    <x v="6"/>
  </r>
  <r>
    <s v="MISAEL"/>
    <n v="150"/>
    <x v="6"/>
    <d v="2025-09-27T00:00:00"/>
    <x v="28"/>
  </r>
  <r>
    <s v="ARTUR FISIO"/>
    <n v="110"/>
    <x v="6"/>
    <d v="2025-09-27T00:00:00"/>
    <x v="3"/>
  </r>
  <r>
    <s v="RAYANE"/>
    <n v="1200"/>
    <x v="6"/>
    <d v="2025-09-27T00:00:00"/>
    <x v="3"/>
  </r>
  <r>
    <s v="TACIANA"/>
    <n v="845"/>
    <x v="6"/>
    <d v="2025-09-27T00:00:00"/>
    <x v="3"/>
  </r>
  <r>
    <s v="TOP"/>
    <n v="40"/>
    <x v="6"/>
    <d v="2025-09-29T00:00:00"/>
    <x v="7"/>
  </r>
  <r>
    <s v="CAFÉ"/>
    <n v="20"/>
    <x v="6"/>
    <d v="2025-09-29T00:00:00"/>
    <x v="6"/>
  </r>
  <r>
    <s v="FAXINA"/>
    <n v="270"/>
    <x v="6"/>
    <d v="2025-09-29T00:00:00"/>
    <x v="15"/>
  </r>
  <r>
    <s v="LAMINA"/>
    <n v="30"/>
    <x v="6"/>
    <d v="2025-09-29T00:00:00"/>
    <x v="1"/>
  </r>
  <r>
    <s v="ESTORNO"/>
    <n v="30"/>
    <x v="6"/>
    <d v="2025-09-29T00:00:00"/>
    <x v="9"/>
  </r>
  <r>
    <s v="RAISSA"/>
    <n v="1350"/>
    <x v="6"/>
    <d v="2025-09-29T00:00:00"/>
    <x v="3"/>
  </r>
  <r>
    <s v="VT"/>
    <n v="480"/>
    <x v="6"/>
    <d v="2025-09-29T00:00:00"/>
    <x v="0"/>
  </r>
  <r>
    <s v="RODRIGO"/>
    <n v="1500"/>
    <x v="6"/>
    <d v="2025-09-29T00:00:00"/>
    <x v="0"/>
  </r>
  <r>
    <s v="ESTORNO"/>
    <n v="150"/>
    <x v="6"/>
    <d v="2025-09-29T00:00:00"/>
    <x v="9"/>
  </r>
  <r>
    <s v="ODON"/>
    <n v="1345"/>
    <x v="6"/>
    <d v="2025-09-29T00:00:00"/>
    <x v="3"/>
  </r>
  <r>
    <s v="CAMILLA"/>
    <n v="100"/>
    <x v="6"/>
    <d v="2025-09-29T00:00:00"/>
    <x v="3"/>
  </r>
  <r>
    <s v="UBER"/>
    <n v="200"/>
    <x v="6"/>
    <d v="2025-09-29T00:00:00"/>
    <x v="6"/>
  </r>
  <r>
    <s v="TOP"/>
    <n v="40"/>
    <x v="6"/>
    <d v="2025-09-30T00:00:00"/>
    <x v="7"/>
  </r>
  <r>
    <s v="TOP"/>
    <n v="40"/>
    <x v="6"/>
    <d v="2025-09-30T00:00:00"/>
    <x v="7"/>
  </r>
  <r>
    <s v="TOP"/>
    <n v="80"/>
    <x v="6"/>
    <d v="2025-09-30T00:00:00"/>
    <x v="7"/>
  </r>
  <r>
    <s v="TOP"/>
    <n v="80"/>
    <x v="6"/>
    <d v="2025-09-30T00:00:00"/>
    <x v="7"/>
  </r>
  <r>
    <s v="TOP"/>
    <n v="40"/>
    <x v="6"/>
    <d v="2025-09-30T00:00:00"/>
    <x v="7"/>
  </r>
  <r>
    <s v="MOVEL"/>
    <n v="80"/>
    <x v="6"/>
    <d v="2025-09-30T00:00:00"/>
    <x v="6"/>
  </r>
  <r>
    <s v="PAI"/>
    <n v="155"/>
    <x v="6"/>
    <d v="2025-09-30T00:00:00"/>
    <x v="6"/>
  </r>
  <r>
    <s v="ESTORNO"/>
    <n v="444.5"/>
    <x v="6"/>
    <d v="2025-09-30T00:00:00"/>
    <x v="9"/>
  </r>
  <r>
    <s v="ARTUR FISIO"/>
    <n v="240"/>
    <x v="6"/>
    <d v="2025-09-30T00:00:00"/>
    <x v="3"/>
  </r>
  <r>
    <s v="DANIELA"/>
    <n v="600"/>
    <x v="6"/>
    <d v="2025-09-30T00:00:00"/>
    <x v="3"/>
  </r>
  <r>
    <s v="VERBA"/>
    <n v="104"/>
    <x v="6"/>
    <d v="2025-09-30T00:00:00"/>
    <x v="4"/>
  </r>
  <r>
    <s v="VIDEO"/>
    <n v="350"/>
    <x v="6"/>
    <d v="2025-09-30T00:00:00"/>
    <x v="4"/>
  </r>
  <r>
    <s v="TOP"/>
    <n v="130"/>
    <x v="7"/>
    <d v="2025-10-01T00:00:00"/>
    <x v="7"/>
  </r>
  <r>
    <s v="PATRICIA"/>
    <n v="2000"/>
    <x v="7"/>
    <d v="2025-10-01T00:00:00"/>
    <x v="0"/>
  </r>
  <r>
    <s v="VITORIA"/>
    <n v="800"/>
    <x v="7"/>
    <d v="2025-10-01T00:00:00"/>
    <x v="0"/>
  </r>
  <r>
    <s v="VITORIA"/>
    <n v="232.5"/>
    <x v="7"/>
    <d v="2025-10-01T00:00:00"/>
    <x v="0"/>
  </r>
  <r>
    <s v="VR"/>
    <n v="1414.5"/>
    <x v="7"/>
    <d v="2025-10-01T00:00:00"/>
    <x v="0"/>
  </r>
  <r>
    <s v="ANDRÉ"/>
    <n v="850"/>
    <x v="7"/>
    <d v="2025-10-01T00:00:00"/>
    <x v="3"/>
  </r>
  <r>
    <s v="LEALDO"/>
    <n v="350"/>
    <x v="7"/>
    <d v="2025-10-01T00:00:00"/>
    <x v="3"/>
  </r>
  <r>
    <s v="ADESIVO E LIMPEZA"/>
    <n v="703"/>
    <x v="7"/>
    <d v="2025-10-01T00:00:00"/>
    <x v="6"/>
  </r>
  <r>
    <s v="PROCTOLOGISTA"/>
    <n v="100"/>
    <x v="7"/>
    <d v="2025-10-02T00:00:00"/>
    <x v="7"/>
  </r>
  <r>
    <s v="TOP"/>
    <n v="130"/>
    <x v="7"/>
    <d v="2025-10-02T00:00:00"/>
    <x v="7"/>
  </r>
  <r>
    <s v="TOP"/>
    <n v="260"/>
    <x v="7"/>
    <d v="2025-10-02T00:00:00"/>
    <x v="7"/>
  </r>
  <r>
    <s v="ESTORNO"/>
    <n v="40"/>
    <x v="7"/>
    <d v="2025-10-02T00:00:00"/>
    <x v="9"/>
  </r>
  <r>
    <s v="ESTORNO"/>
    <n v="485"/>
    <x v="7"/>
    <d v="2025-10-02T00:00:00"/>
    <x v="9"/>
  </r>
  <r>
    <s v="ANA"/>
    <n v="4000"/>
    <x v="7"/>
    <d v="2025-10-02T00:00:00"/>
    <x v="0"/>
  </r>
  <r>
    <s v="IONE"/>
    <n v="2085"/>
    <x v="7"/>
    <d v="2025-10-02T00:00:00"/>
    <x v="0"/>
  </r>
  <r>
    <s v="MAYARA"/>
    <n v="120"/>
    <x v="7"/>
    <d v="2025-10-02T00:00:00"/>
    <x v="0"/>
  </r>
  <r>
    <s v="VITORIA"/>
    <n v="45"/>
    <x v="7"/>
    <d v="2025-10-02T00:00:00"/>
    <x v="0"/>
  </r>
  <r>
    <s v="LOTERICA"/>
    <n v="100"/>
    <x v="7"/>
    <d v="2025-10-02T00:00:00"/>
    <x v="4"/>
  </r>
  <r>
    <s v="MISAEL"/>
    <n v="714"/>
    <x v="7"/>
    <d v="2025-10-02T00:00:00"/>
    <x v="3"/>
  </r>
  <r>
    <s v="MISAEL"/>
    <n v="480"/>
    <x v="7"/>
    <d v="2025-10-02T00:00:00"/>
    <x v="3"/>
  </r>
  <r>
    <s v="KENIO"/>
    <n v="600"/>
    <x v="7"/>
    <d v="2025-10-02T00:00:00"/>
    <x v="3"/>
  </r>
  <r>
    <s v="LIVIA"/>
    <n v="200"/>
    <x v="7"/>
    <d v="2025-10-02T00:00:00"/>
    <x v="3"/>
  </r>
  <r>
    <s v="THIAGO"/>
    <n v="700"/>
    <x v="7"/>
    <d v="2025-10-02T00:00:00"/>
    <x v="3"/>
  </r>
  <r>
    <s v="AGUA"/>
    <n v="20"/>
    <x v="7"/>
    <d v="2025-10-02T00:00:00"/>
    <x v="6"/>
  </r>
  <r>
    <s v="BOLO"/>
    <n v="28.5"/>
    <x v="7"/>
    <d v="2025-10-02T00:00:00"/>
    <x v="6"/>
  </r>
  <r>
    <s v="DOCE"/>
    <n v="30"/>
    <x v="7"/>
    <d v="2025-10-02T00:00:00"/>
    <x v="6"/>
  </r>
  <r>
    <s v="TOXICOLOGICO"/>
    <n v="45"/>
    <x v="7"/>
    <d v="2025-10-02T00:00:00"/>
    <x v="7"/>
  </r>
  <r>
    <s v="GASTROCENTER"/>
    <n v="460"/>
    <x v="7"/>
    <d v="2025-10-03T00:00:00"/>
    <x v="7"/>
  </r>
  <r>
    <s v="TOP"/>
    <n v="130"/>
    <x v="7"/>
    <d v="2025-10-03T00:00:00"/>
    <x v="7"/>
  </r>
  <r>
    <s v="TOP"/>
    <n v="130"/>
    <x v="7"/>
    <d v="2025-10-03T00:00:00"/>
    <x v="7"/>
  </r>
  <r>
    <s v="MAYARA"/>
    <n v="2200"/>
    <x v="7"/>
    <d v="2025-10-03T00:00:00"/>
    <x v="0"/>
  </r>
  <r>
    <s v="AGULHA"/>
    <n v="70"/>
    <x v="7"/>
    <d v="2025-10-03T00:00:00"/>
    <x v="1"/>
  </r>
  <r>
    <s v="CANECA"/>
    <n v="500"/>
    <x v="7"/>
    <d v="2025-10-03T00:00:00"/>
    <x v="4"/>
  </r>
  <r>
    <s v="TRAFEGO"/>
    <n v="180"/>
    <x v="7"/>
    <d v="2025-10-03T00:00:00"/>
    <x v="4"/>
  </r>
  <r>
    <s v="ALINE"/>
    <n v="100"/>
    <x v="7"/>
    <d v="2025-10-03T00:00:00"/>
    <x v="3"/>
  </r>
  <r>
    <s v="FISIO"/>
    <n v="280"/>
    <x v="7"/>
    <d v="2025-10-03T00:00:00"/>
    <x v="3"/>
  </r>
  <r>
    <s v="CAMILLA"/>
    <n v="150"/>
    <x v="7"/>
    <d v="2025-10-04T00:00:00"/>
    <x v="3"/>
  </r>
  <r>
    <s v="BRENA"/>
    <n v="430"/>
    <x v="7"/>
    <d v="2025-10-04T00:00:00"/>
    <x v="3"/>
  </r>
  <r>
    <s v="TACIANA"/>
    <n v="1110"/>
    <x v="7"/>
    <d v="2025-10-04T00:00:00"/>
    <x v="3"/>
  </r>
  <r>
    <s v="ALMOÇO"/>
    <n v="435"/>
    <x v="7"/>
    <d v="2025-10-04T00:00:00"/>
    <x v="6"/>
  </r>
  <r>
    <s v="MOVEL"/>
    <n v="400"/>
    <x v="7"/>
    <d v="2025-10-04T00:00:00"/>
    <x v="6"/>
  </r>
  <r>
    <s v="MANUNTENCAO"/>
    <n v="150"/>
    <x v="7"/>
    <d v="2025-10-05T00:00:00"/>
    <x v="6"/>
  </r>
  <r>
    <s v="GASTROCENTER"/>
    <n v="460"/>
    <x v="7"/>
    <d v="2025-10-06T00:00:00"/>
    <x v="7"/>
  </r>
  <r>
    <s v="TOP"/>
    <n v="260"/>
    <x v="7"/>
    <d v="2025-10-06T00:00:00"/>
    <x v="7"/>
  </r>
  <r>
    <s v="TOP"/>
    <n v="130"/>
    <x v="7"/>
    <d v="2025-10-06T00:00:00"/>
    <x v="7"/>
  </r>
  <r>
    <s v="ALUGUEL"/>
    <n v="5000"/>
    <x v="7"/>
    <d v="2025-10-06T00:00:00"/>
    <x v="11"/>
  </r>
  <r>
    <s v="JUROS"/>
    <n v="350"/>
    <x v="7"/>
    <d v="2025-10-06T00:00:00"/>
    <x v="20"/>
  </r>
  <r>
    <s v="ESTORNO"/>
    <n v="80"/>
    <x v="7"/>
    <d v="2025-10-06T00:00:00"/>
    <x v="9"/>
  </r>
  <r>
    <s v="CARTAO"/>
    <n v="900"/>
    <x v="7"/>
    <d v="2025-10-06T00:00:00"/>
    <x v="1"/>
  </r>
  <r>
    <s v="RAIANA"/>
    <n v="700"/>
    <x v="7"/>
    <d v="2025-10-06T00:00:00"/>
    <x v="3"/>
  </r>
  <r>
    <s v="RAISSA"/>
    <n v="940"/>
    <x v="7"/>
    <d v="2025-10-06T00:00:00"/>
    <x v="3"/>
  </r>
  <r>
    <s v="ODON"/>
    <n v="480"/>
    <x v="7"/>
    <d v="2025-10-06T00:00:00"/>
    <x v="3"/>
  </r>
  <r>
    <s v="ARTUR FISIO"/>
    <n v="80"/>
    <x v="7"/>
    <d v="2025-10-06T00:00:00"/>
    <x v="3"/>
  </r>
  <r>
    <s v="MISAEL"/>
    <n v="1780"/>
    <x v="7"/>
    <d v="2025-10-07T00:00:00"/>
    <x v="7"/>
  </r>
  <r>
    <s v="TOP"/>
    <n v="130"/>
    <x v="7"/>
    <d v="2025-10-07T00:00:00"/>
    <x v="7"/>
  </r>
  <r>
    <s v="INSUMOS"/>
    <n v="95"/>
    <x v="7"/>
    <d v="2025-10-07T00:00:00"/>
    <x v="1"/>
  </r>
  <r>
    <s v="CRIANCAS"/>
    <n v="200"/>
    <x v="7"/>
    <d v="2025-10-07T00:00:00"/>
    <x v="4"/>
  </r>
  <r>
    <s v="TRAFEGO"/>
    <n v="520"/>
    <x v="7"/>
    <d v="2025-10-07T00:00:00"/>
    <x v="4"/>
  </r>
  <r>
    <s v="LETICIA"/>
    <n v="530"/>
    <x v="7"/>
    <d v="2025-10-07T00:00:00"/>
    <x v="3"/>
  </r>
  <r>
    <s v="TOP"/>
    <n v="40"/>
    <x v="7"/>
    <d v="2025-10-08T00:00:00"/>
    <x v="7"/>
  </r>
  <r>
    <s v="ESTORNO"/>
    <n v="10"/>
    <x v="7"/>
    <d v="2025-10-08T00:00:00"/>
    <x v="9"/>
  </r>
  <r>
    <s v="MARKETING"/>
    <n v="350"/>
    <x v="7"/>
    <d v="2025-10-08T00:00:00"/>
    <x v="4"/>
  </r>
  <r>
    <s v="NATH"/>
    <n v="300"/>
    <x v="7"/>
    <d v="2025-10-08T00:00:00"/>
    <x v="3"/>
  </r>
  <r>
    <s v="ALINE"/>
    <n v="150"/>
    <x v="7"/>
    <d v="2025-10-08T00:00:00"/>
    <x v="3"/>
  </r>
  <r>
    <s v="ANDRE"/>
    <n v="1260"/>
    <x v="7"/>
    <d v="2025-10-08T00:00:00"/>
    <x v="3"/>
  </r>
  <r>
    <s v="ARTUR FISIO"/>
    <n v="80"/>
    <x v="7"/>
    <d v="2025-10-08T00:00:00"/>
    <x v="3"/>
  </r>
  <r>
    <s v="ARTUR FISIO"/>
    <n v="80"/>
    <x v="7"/>
    <d v="2025-10-08T00:00:00"/>
    <x v="3"/>
  </r>
  <r>
    <s v="LEALDO"/>
    <n v="520"/>
    <x v="7"/>
    <d v="2025-10-08T00:00:00"/>
    <x v="3"/>
  </r>
  <r>
    <s v="PONTO"/>
    <n v="150"/>
    <x v="7"/>
    <d v="2025-10-08T00:00:00"/>
    <x v="17"/>
  </r>
  <r>
    <s v="RESSONANCIA"/>
    <n v="860"/>
    <x v="7"/>
    <d v="2025-10-09T00:00:00"/>
    <x v="7"/>
  </r>
  <r>
    <s v="TOP"/>
    <n v="40"/>
    <x v="7"/>
    <d v="2025-10-09T00:00:00"/>
    <x v="7"/>
  </r>
  <r>
    <s v="TOP"/>
    <n v="430"/>
    <x v="7"/>
    <d v="2025-10-09T00:00:00"/>
    <x v="7"/>
  </r>
  <r>
    <s v="MARKETING"/>
    <n v="300"/>
    <x v="7"/>
    <d v="2025-10-09T00:00:00"/>
    <x v="4"/>
  </r>
  <r>
    <s v="KENIO"/>
    <n v="945"/>
    <x v="7"/>
    <d v="2025-10-09T00:00:00"/>
    <x v="3"/>
  </r>
  <r>
    <s v="LIVIA"/>
    <n v="120"/>
    <x v="7"/>
    <d v="2025-10-09T00:00:00"/>
    <x v="3"/>
  </r>
  <r>
    <s v="THIAGO"/>
    <n v="660"/>
    <x v="7"/>
    <d v="2025-10-09T00:00:00"/>
    <x v="3"/>
  </r>
  <r>
    <s v="CANECA"/>
    <n v="480"/>
    <x v="7"/>
    <d v="2025-10-09T00:00:00"/>
    <x v="6"/>
  </r>
  <r>
    <s v="MOVEL"/>
    <n v="200"/>
    <x v="7"/>
    <d v="2025-10-09T00:00:00"/>
    <x v="6"/>
  </r>
  <r>
    <s v="top"/>
    <n v="160"/>
    <x v="7"/>
    <d v="2025-10-10T00:00:00"/>
    <x v="7"/>
  </r>
  <r>
    <s v="ESTORNO"/>
    <n v="45"/>
    <x v="7"/>
    <d v="2025-10-10T00:00:00"/>
    <x v="9"/>
  </r>
  <r>
    <s v="AGUA"/>
    <n v="20"/>
    <x v="7"/>
    <d v="2025-10-10T00:00:00"/>
    <x v="1"/>
  </r>
  <r>
    <s v="MEDICAL"/>
    <n v="140"/>
    <x v="7"/>
    <d v="2025-10-10T00:00:00"/>
    <x v="1"/>
  </r>
  <r>
    <s v="mkt"/>
    <n v="55"/>
    <x v="7"/>
    <d v="2025-10-10T00:00:00"/>
    <x v="4"/>
  </r>
  <r>
    <s v="MKT"/>
    <n v="21.5"/>
    <x v="7"/>
    <d v="2025-10-10T00:00:00"/>
    <x v="4"/>
  </r>
  <r>
    <s v="olinda"/>
    <n v="200"/>
    <x v="7"/>
    <d v="2025-10-10T00:00:00"/>
    <x v="4"/>
  </r>
  <r>
    <s v="TRAFEGO"/>
    <n v="900"/>
    <x v="7"/>
    <d v="2025-10-10T00:00:00"/>
    <x v="4"/>
  </r>
  <r>
    <s v="MISAEL"/>
    <n v="522"/>
    <x v="7"/>
    <d v="2025-10-10T00:00:00"/>
    <x v="3"/>
  </r>
  <r>
    <s v="ARTUR FISIO"/>
    <n v="420"/>
    <x v="7"/>
    <d v="2025-10-10T00:00:00"/>
    <x v="3"/>
  </r>
  <r>
    <s v="RAYANNE"/>
    <n v="1240"/>
    <x v="7"/>
    <d v="2025-10-10T00:00:00"/>
    <x v="3"/>
  </r>
  <r>
    <s v="RAYANNE"/>
    <n v="63"/>
    <x v="7"/>
    <d v="2025-10-10T00:00:00"/>
    <x v="3"/>
  </r>
  <r>
    <s v="LAPIS"/>
    <n v="6"/>
    <x v="7"/>
    <d v="2025-10-10T00:00:00"/>
    <x v="6"/>
  </r>
  <r>
    <s v="ALVARO"/>
    <n v="1036.52"/>
    <x v="7"/>
    <d v="2025-10-10T00:00:00"/>
    <x v="5"/>
  </r>
  <r>
    <s v="ESTORNO"/>
    <n v="54"/>
    <x v="7"/>
    <d v="2025-10-11T00:00:00"/>
    <x v="9"/>
  </r>
  <r>
    <s v="CAFÉ"/>
    <n v="70"/>
    <x v="7"/>
    <d v="2025-10-11T00:00:00"/>
    <x v="1"/>
  </r>
  <r>
    <s v="HOLTER"/>
    <n v="580"/>
    <x v="7"/>
    <d v="2025-10-11T00:00:00"/>
    <x v="26"/>
  </r>
  <r>
    <s v="BRINQUEDOS"/>
    <n v="400"/>
    <x v="7"/>
    <d v="2025-10-11T00:00:00"/>
    <x v="4"/>
  </r>
  <r>
    <s v="DC"/>
    <n v="200"/>
    <x v="7"/>
    <d v="2025-10-11T00:00:00"/>
    <x v="4"/>
  </r>
  <r>
    <s v="PERSONAGEM"/>
    <n v="240"/>
    <x v="7"/>
    <d v="2025-10-11T00:00:00"/>
    <x v="4"/>
  </r>
  <r>
    <s v="TOLDO"/>
    <n v="400"/>
    <x v="7"/>
    <d v="2025-10-11T00:00:00"/>
    <x v="4"/>
  </r>
  <r>
    <s v="RAYANNE"/>
    <n v="883"/>
    <x v="7"/>
    <d v="2025-10-11T00:00:00"/>
    <x v="3"/>
  </r>
  <r>
    <s v="TACIANA"/>
    <n v="1620"/>
    <x v="7"/>
    <d v="2025-10-11T00:00:00"/>
    <x v="3"/>
  </r>
  <r>
    <s v="MERCADO"/>
    <n v="20"/>
    <x v="7"/>
    <d v="2025-10-11T00:00:00"/>
    <x v="6"/>
  </r>
  <r>
    <s v="UBER"/>
    <n v="30"/>
    <x v="7"/>
    <d v="2025-10-11T00:00:00"/>
    <x v="6"/>
  </r>
  <r>
    <s v="UBER"/>
    <n v="30"/>
    <x v="7"/>
    <d v="2025-10-11T00:00:00"/>
    <x v="6"/>
  </r>
  <r>
    <s v="BRUNA"/>
    <n v="350"/>
    <x v="7"/>
    <d v="2025-10-13T00:00:00"/>
    <x v="15"/>
  </r>
  <r>
    <s v="RODRIGO"/>
    <n v="6000"/>
    <x v="7"/>
    <d v="2025-10-13T00:00:00"/>
    <x v="10"/>
  </r>
  <r>
    <s v="GASTROCENTER"/>
    <n v="500"/>
    <x v="7"/>
    <d v="2025-10-14T00:00:00"/>
    <x v="7"/>
  </r>
  <r>
    <s v="PREVIMAGEM"/>
    <n v="1905"/>
    <x v="7"/>
    <d v="2025-10-14T00:00:00"/>
    <x v="7"/>
  </r>
  <r>
    <s v="TOP"/>
    <n v="430"/>
    <x v="7"/>
    <d v="2025-10-14T00:00:00"/>
    <x v="7"/>
  </r>
  <r>
    <s v="LUANA"/>
    <n v="100"/>
    <x v="7"/>
    <d v="2025-10-14T00:00:00"/>
    <x v="1"/>
  </r>
  <r>
    <s v="RAYANNE"/>
    <n v="1039"/>
    <x v="7"/>
    <d v="2025-10-14T00:00:00"/>
    <x v="3"/>
  </r>
  <r>
    <s v="ALINE"/>
    <n v="1050"/>
    <x v="7"/>
    <d v="2025-10-14T00:00:00"/>
    <x v="3"/>
  </r>
  <r>
    <s v="MISAEL"/>
    <n v="1341"/>
    <x v="7"/>
    <d v="2025-10-14T00:00:00"/>
    <x v="3"/>
  </r>
  <r>
    <s v="ARTUR FISIO"/>
    <n v="40"/>
    <x v="7"/>
    <d v="2025-10-14T00:00:00"/>
    <x v="3"/>
  </r>
  <r>
    <s v="FOTO"/>
    <n v="170"/>
    <x v="7"/>
    <d v="2025-10-14T00:00:00"/>
    <x v="6"/>
  </r>
  <r>
    <s v="MANUNTENCAO"/>
    <n v="500"/>
    <x v="7"/>
    <d v="2025-10-14T00:00:00"/>
    <x v="6"/>
  </r>
  <r>
    <s v="UBER"/>
    <n v="35"/>
    <x v="7"/>
    <d v="2025-10-14T00:00:00"/>
    <x v="6"/>
  </r>
  <r>
    <s v="FAST IA"/>
    <n v="1500"/>
    <x v="7"/>
    <d v="2025-10-14T00:00:00"/>
    <x v="17"/>
  </r>
  <r>
    <s v="CARDIO"/>
    <n v="1950"/>
    <x v="7"/>
    <d v="2025-10-14T00:00:00"/>
    <x v="7"/>
  </r>
  <r>
    <s v="ESTORNO"/>
    <n v="45"/>
    <x v="7"/>
    <d v="2025-10-15T00:00:00"/>
    <x v="9"/>
  </r>
  <r>
    <s v="AGUA"/>
    <n v="20"/>
    <x v="7"/>
    <d v="2025-10-15T00:00:00"/>
    <x v="1"/>
  </r>
  <r>
    <s v="CAMILLA"/>
    <n v="250"/>
    <x v="7"/>
    <d v="2025-10-15T00:00:00"/>
    <x v="3"/>
  </r>
  <r>
    <s v="MISAEL"/>
    <n v="841"/>
    <x v="7"/>
    <d v="2025-10-15T00:00:00"/>
    <x v="3"/>
  </r>
  <r>
    <s v="VASCULAR"/>
    <n v="450"/>
    <x v="7"/>
    <d v="2025-10-15T00:00:00"/>
    <x v="3"/>
  </r>
  <r>
    <s v="ANDRE"/>
    <n v="1260"/>
    <x v="7"/>
    <d v="2025-10-15T00:00:00"/>
    <x v="3"/>
  </r>
  <r>
    <s v="BOLO"/>
    <n v="98"/>
    <x v="7"/>
    <d v="2025-10-15T00:00:00"/>
    <x v="6"/>
  </r>
  <r>
    <s v="DIOGO"/>
    <n v="200"/>
    <x v="7"/>
    <d v="2025-10-15T00:00:00"/>
    <x v="27"/>
  </r>
  <r>
    <s v="TOXICOLOGICO"/>
    <n v="815"/>
    <x v="7"/>
    <d v="2025-10-15T00:00:00"/>
    <x v="7"/>
  </r>
  <r>
    <s v="GASTROCENTER"/>
    <n v="280"/>
    <x v="7"/>
    <d v="2025-10-16T00:00:00"/>
    <x v="7"/>
  </r>
  <r>
    <s v="TOP"/>
    <n v="130"/>
    <x v="7"/>
    <d v="2025-10-16T00:00:00"/>
    <x v="7"/>
  </r>
  <r>
    <s v="TOP"/>
    <n v="430"/>
    <x v="7"/>
    <d v="2025-10-16T00:00:00"/>
    <x v="7"/>
  </r>
  <r>
    <s v="MEDICAL"/>
    <n v="70"/>
    <x v="7"/>
    <d v="2025-10-16T00:00:00"/>
    <x v="1"/>
  </r>
  <r>
    <s v="LAB MORAES"/>
    <n v="9379.07"/>
    <x v="7"/>
    <d v="2025-10-16T00:00:00"/>
    <x v="5"/>
  </r>
  <r>
    <s v="THIAGO"/>
    <n v="600"/>
    <x v="7"/>
    <d v="2025-10-16T00:00:00"/>
    <x v="3"/>
  </r>
  <r>
    <s v="TOP"/>
    <n v="40"/>
    <x v="7"/>
    <d v="2025-10-17T00:00:00"/>
    <x v="7"/>
  </r>
  <r>
    <s v="TOP"/>
    <n v="460"/>
    <x v="7"/>
    <d v="2025-10-17T00:00:00"/>
    <x v="7"/>
  </r>
  <r>
    <s v="TRAFEGO"/>
    <n v="900"/>
    <x v="7"/>
    <d v="2025-10-17T00:00:00"/>
    <x v="4"/>
  </r>
  <r>
    <s v="ALINE"/>
    <n v="350"/>
    <x v="7"/>
    <d v="2025-10-17T00:00:00"/>
    <x v="3"/>
  </r>
  <r>
    <s v="ARTUR FISIO"/>
    <n v="80"/>
    <x v="7"/>
    <d v="2025-10-17T00:00:00"/>
    <x v="3"/>
  </r>
  <r>
    <s v="RAYANNE"/>
    <n v="1110"/>
    <x v="7"/>
    <d v="2025-10-17T00:00:00"/>
    <x v="3"/>
  </r>
  <r>
    <s v="RAIHANA"/>
    <n v="540"/>
    <x v="7"/>
    <d v="2025-10-17T00:00:00"/>
    <x v="3"/>
  </r>
  <r>
    <s v="BRASCON"/>
    <n v="235"/>
    <x v="7"/>
    <d v="2025-10-17T00:00:00"/>
    <x v="6"/>
  </r>
  <r>
    <s v="GASTROCENTER"/>
    <n v="290"/>
    <x v="7"/>
    <d v="2025-10-18T00:00:00"/>
    <x v="7"/>
  </r>
  <r>
    <s v="BRUNA"/>
    <n v="170"/>
    <x v="7"/>
    <d v="2025-10-18T00:00:00"/>
    <x v="15"/>
  </r>
  <r>
    <s v="LIMPEZA"/>
    <n v="110"/>
    <x v="7"/>
    <d v="2025-10-18T00:00:00"/>
    <x v="1"/>
  </r>
  <r>
    <s v="UROLOGISTA"/>
    <n v="600"/>
    <x v="7"/>
    <d v="2025-10-18T00:00:00"/>
    <x v="3"/>
  </r>
  <r>
    <s v="KENIO"/>
    <n v="950"/>
    <x v="7"/>
    <d v="2025-10-18T00:00:00"/>
    <x v="3"/>
  </r>
  <r>
    <s v="ALMOÇO"/>
    <n v="100"/>
    <x v="7"/>
    <d v="2025-10-18T00:00:00"/>
    <x v="6"/>
  </r>
  <r>
    <s v="TV"/>
    <n v="200"/>
    <x v="7"/>
    <d v="2025-10-18T00:00:00"/>
    <x v="6"/>
  </r>
  <r>
    <s v="GASTROCENTER"/>
    <n v="560"/>
    <x v="7"/>
    <d v="2025-10-20T00:00:00"/>
    <x v="7"/>
  </r>
  <r>
    <s v="TOP"/>
    <n v="170"/>
    <x v="7"/>
    <d v="2025-10-20T00:00:00"/>
    <x v="7"/>
  </r>
  <r>
    <s v="ESTORNO"/>
    <n v="125"/>
    <x v="7"/>
    <d v="2025-10-20T00:00:00"/>
    <x v="9"/>
  </r>
  <r>
    <s v="GOOGLE MEU NGC"/>
    <n v="189"/>
    <x v="7"/>
    <d v="2025-10-20T00:00:00"/>
    <x v="4"/>
  </r>
  <r>
    <s v="SITE"/>
    <n v="35"/>
    <x v="7"/>
    <d v="2025-10-20T00:00:00"/>
    <x v="4"/>
  </r>
  <r>
    <s v="ODON"/>
    <n v="915"/>
    <x v="7"/>
    <d v="2025-10-20T00:00:00"/>
    <x v="3"/>
  </r>
  <r>
    <s v="ESTORNO"/>
    <n v="61"/>
    <x v="7"/>
    <d v="2025-10-21T00:00:00"/>
    <x v="9"/>
  </r>
  <r>
    <s v="ESTORNO"/>
    <n v="980"/>
    <x v="7"/>
    <d v="2025-10-21T00:00:00"/>
    <x v="9"/>
  </r>
  <r>
    <s v="AGUA"/>
    <n v="20"/>
    <x v="7"/>
    <d v="2025-10-21T00:00:00"/>
    <x v="1"/>
  </r>
  <r>
    <s v="ALINE"/>
    <n v="1150"/>
    <x v="7"/>
    <d v="2025-10-21T00:00:00"/>
    <x v="3"/>
  </r>
  <r>
    <s v="RAYANNE"/>
    <n v="659.6"/>
    <x v="7"/>
    <d v="2025-10-21T00:00:00"/>
    <x v="3"/>
  </r>
  <r>
    <s v="LETICIA"/>
    <n v="1320"/>
    <x v="7"/>
    <d v="2025-10-21T00:00:00"/>
    <x v="3"/>
  </r>
  <r>
    <s v="DR RAISSA"/>
    <n v="725"/>
    <x v="7"/>
    <d v="2025-10-21T00:00:00"/>
    <x v="3"/>
  </r>
  <r>
    <s v="MISAEL"/>
    <n v="1221"/>
    <x v="7"/>
    <d v="2025-10-21T00:00:00"/>
    <x v="3"/>
  </r>
  <r>
    <s v="ALMOÇO"/>
    <n v="35"/>
    <x v="7"/>
    <d v="2025-10-21T00:00:00"/>
    <x v="6"/>
  </r>
  <r>
    <s v="TOP"/>
    <n v="70"/>
    <x v="7"/>
    <d v="2025-10-22T00:00:00"/>
    <x v="7"/>
  </r>
  <r>
    <s v="TOP"/>
    <n v="140"/>
    <x v="7"/>
    <d v="2025-10-22T00:00:00"/>
    <x v="7"/>
  </r>
  <r>
    <s v="IMPOSTO"/>
    <n v="2246.42"/>
    <x v="7"/>
    <d v="2025-10-22T00:00:00"/>
    <x v="16"/>
  </r>
  <r>
    <s v="ARTUR FISIO"/>
    <n v="420"/>
    <x v="7"/>
    <d v="2025-10-22T00:00:00"/>
    <x v="3"/>
  </r>
  <r>
    <s v="ANDRE"/>
    <n v="1625"/>
    <x v="7"/>
    <d v="2025-10-22T00:00:00"/>
    <x v="3"/>
  </r>
  <r>
    <s v="LEALDO"/>
    <n v="1050"/>
    <x v="7"/>
    <d v="2025-10-22T00:00:00"/>
    <x v="3"/>
  </r>
  <r>
    <s v="KENIO"/>
    <n v="620"/>
    <x v="7"/>
    <d v="2025-10-22T00:00:00"/>
    <x v="3"/>
  </r>
  <r>
    <s v="PROCTOLOGISTA"/>
    <n v="50"/>
    <x v="7"/>
    <d v="2025-10-22T00:00:00"/>
    <x v="3"/>
  </r>
  <r>
    <s v="NUTRI"/>
    <n v="80"/>
    <x v="7"/>
    <d v="2025-10-22T00:00:00"/>
    <x v="3"/>
  </r>
  <r>
    <s v="GASTROCENTER"/>
    <n v="560"/>
    <x v="7"/>
    <d v="2025-10-24T00:00:00"/>
    <x v="7"/>
  </r>
  <r>
    <s v="TOP"/>
    <n v="40"/>
    <x v="7"/>
    <d v="2025-10-24T00:00:00"/>
    <x v="7"/>
  </r>
  <r>
    <s v="CONSULTORIA"/>
    <n v="1770"/>
    <x v="7"/>
    <d v="2025-10-24T00:00:00"/>
    <x v="29"/>
  </r>
  <r>
    <s v="INSUMO"/>
    <n v="2000"/>
    <x v="7"/>
    <d v="2025-10-24T00:00:00"/>
    <x v="1"/>
  </r>
  <r>
    <s v="COMBUSTAO"/>
    <n v="1521"/>
    <x v="7"/>
    <d v="2025-10-24T00:00:00"/>
    <x v="4"/>
  </r>
  <r>
    <s v="OLINDA"/>
    <n v="200"/>
    <x v="7"/>
    <d v="2025-10-24T00:00:00"/>
    <x v="4"/>
  </r>
  <r>
    <s v="VERBA"/>
    <n v="900"/>
    <x v="7"/>
    <d v="2025-10-24T00:00:00"/>
    <x v="4"/>
  </r>
  <r>
    <s v="MISAEL"/>
    <n v="3265"/>
    <x v="7"/>
    <d v="2025-10-24T00:00:00"/>
    <x v="3"/>
  </r>
  <r>
    <s v="RAIANA"/>
    <n v="520"/>
    <x v="7"/>
    <d v="2025-10-24T00:00:00"/>
    <x v="3"/>
  </r>
  <r>
    <s v="ALINE"/>
    <n v="80"/>
    <x v="7"/>
    <d v="2025-10-24T00:00:00"/>
    <x v="3"/>
  </r>
  <r>
    <s v="RAYANNE"/>
    <n v="707"/>
    <x v="7"/>
    <d v="2025-10-24T00:00:00"/>
    <x v="3"/>
  </r>
  <r>
    <s v="GASTROCENTER"/>
    <n v="280"/>
    <x v="7"/>
    <d v="2025-10-25T00:00:00"/>
    <x v="7"/>
  </r>
  <r>
    <s v="TOP"/>
    <n v="80"/>
    <x v="7"/>
    <d v="2025-10-25T00:00:00"/>
    <x v="7"/>
  </r>
  <r>
    <s v="BRENA"/>
    <n v="505"/>
    <x v="7"/>
    <d v="2025-10-25T00:00:00"/>
    <x v="3"/>
  </r>
  <r>
    <s v="ARTUR FISIO"/>
    <n v="840"/>
    <x v="7"/>
    <d v="2025-10-25T00:00:00"/>
    <x v="3"/>
  </r>
  <r>
    <s v="SODRE"/>
    <n v="440"/>
    <x v="7"/>
    <d v="2025-10-27T00:00:00"/>
    <x v="7"/>
  </r>
  <r>
    <s v="CONTADOR"/>
    <n v="1200"/>
    <x v="7"/>
    <d v="2025-10-27T00:00:00"/>
    <x v="12"/>
  </r>
  <r>
    <s v="ENERGIA"/>
    <n v="908.5"/>
    <x v="7"/>
    <d v="2025-10-27T00:00:00"/>
    <x v="21"/>
  </r>
  <r>
    <s v="ESTORNO"/>
    <n v="150"/>
    <x v="7"/>
    <d v="2025-10-27T00:00:00"/>
    <x v="9"/>
  </r>
  <r>
    <s v="INSUMO"/>
    <n v="400"/>
    <x v="7"/>
    <d v="2025-10-27T00:00:00"/>
    <x v="1"/>
  </r>
  <r>
    <s v="BOMSUCESSO ORDINARIO"/>
    <n v="70"/>
    <x v="7"/>
    <d v="2025-10-27T00:00:00"/>
    <x v="4"/>
  </r>
  <r>
    <s v="HARPA"/>
    <n v="600"/>
    <x v="7"/>
    <d v="2025-10-27T00:00:00"/>
    <x v="4"/>
  </r>
  <r>
    <s v="CAMILLA"/>
    <n v="315"/>
    <x v="7"/>
    <d v="2025-10-27T00:00:00"/>
    <x v="3"/>
  </r>
  <r>
    <s v="MISAEL"/>
    <n v="200"/>
    <x v="7"/>
    <d v="2025-10-27T00:00:00"/>
    <x v="3"/>
  </r>
  <r>
    <s v="ODON"/>
    <n v="730"/>
    <x v="7"/>
    <d v="2025-10-27T00:00:00"/>
    <x v="3"/>
  </r>
  <r>
    <s v="ALINE"/>
    <n v="240"/>
    <x v="7"/>
    <d v="2025-10-27T00:00:00"/>
    <x v="3"/>
  </r>
  <r>
    <s v="ESTORNO"/>
    <n v="125"/>
    <x v="7"/>
    <d v="2025-10-28T00:00:00"/>
    <x v="9"/>
  </r>
  <r>
    <s v="AGUA"/>
    <n v="20"/>
    <x v="7"/>
    <d v="2025-10-28T00:00:00"/>
    <x v="1"/>
  </r>
  <r>
    <s v="MISAEL"/>
    <n v="855"/>
    <x v="7"/>
    <d v="2025-10-28T00:00:00"/>
    <x v="3"/>
  </r>
  <r>
    <s v="DRA ALINE"/>
    <n v="895"/>
    <x v="7"/>
    <d v="2025-10-28T00:00:00"/>
    <x v="3"/>
  </r>
  <r>
    <s v="DRA RAYANNE"/>
    <n v="872.4"/>
    <x v="7"/>
    <d v="2025-10-28T00:00:00"/>
    <x v="3"/>
  </r>
  <r>
    <s v="DANI"/>
    <n v="375"/>
    <x v="7"/>
    <d v="2025-10-28T00:00:00"/>
    <x v="3"/>
  </r>
  <r>
    <s v="MISAEL"/>
    <n v="1722"/>
    <x v="7"/>
    <d v="2025-10-28T00:00:00"/>
    <x v="3"/>
  </r>
  <r>
    <s v="AGUA"/>
    <n v="21.5"/>
    <x v="7"/>
    <d v="2025-10-29T00:00:00"/>
    <x v="1"/>
  </r>
  <r>
    <s v="OLINDA"/>
    <n v="200"/>
    <x v="7"/>
    <d v="2025-10-29T00:00:00"/>
    <x v="4"/>
  </r>
  <r>
    <s v="ARTUR FISIO"/>
    <n v="105"/>
    <x v="7"/>
    <d v="2025-10-29T00:00:00"/>
    <x v="3"/>
  </r>
  <r>
    <s v="ANDRE"/>
    <n v="650"/>
    <x v="7"/>
    <d v="2025-10-29T00:00:00"/>
    <x v="3"/>
  </r>
  <r>
    <s v="ANA"/>
    <n v="540"/>
    <x v="7"/>
    <d v="2025-10-29T00:00:00"/>
    <x v="3"/>
  </r>
  <r>
    <s v="UBER"/>
    <n v="35"/>
    <x v="7"/>
    <d v="2025-10-29T00:00:00"/>
    <x v="6"/>
  </r>
  <r>
    <s v="TOP"/>
    <n v="120"/>
    <x v="7"/>
    <d v="2025-10-30T00:00:00"/>
    <x v="7"/>
  </r>
  <r>
    <s v="ULTRAMEGA"/>
    <n v="437"/>
    <x v="7"/>
    <d v="2025-10-30T00:00:00"/>
    <x v="1"/>
  </r>
  <r>
    <s v="ARTUR FISIO"/>
    <n v="105"/>
    <x v="7"/>
    <d v="2025-10-30T00:00:00"/>
    <x v="3"/>
  </r>
  <r>
    <s v="CAMILLA"/>
    <n v="80"/>
    <x v="7"/>
    <d v="2025-10-30T00:00:00"/>
    <x v="3"/>
  </r>
  <r>
    <s v="PATRICIA"/>
    <n v="2000"/>
    <x v="7"/>
    <d v="2025-10-31T00:00:00"/>
    <x v="0"/>
  </r>
  <r>
    <s v="VITORIA"/>
    <n v="1387"/>
    <x v="7"/>
    <d v="2025-10-31T00:00:00"/>
    <x v="0"/>
  </r>
  <r>
    <s v="VR IONE"/>
    <n v="389.5"/>
    <x v="7"/>
    <d v="2025-10-31T00:00:00"/>
    <x v="0"/>
  </r>
  <r>
    <s v="VR MAYARA"/>
    <n v="389.5"/>
    <x v="7"/>
    <d v="2025-10-31T00:00:00"/>
    <x v="0"/>
  </r>
  <r>
    <s v="VT"/>
    <n v="408"/>
    <x v="7"/>
    <d v="2025-10-31T00:00:00"/>
    <x v="0"/>
  </r>
  <r>
    <s v="TRAFEGO"/>
    <n v="265"/>
    <x v="7"/>
    <d v="2025-10-31T00:00:00"/>
    <x v="4"/>
  </r>
  <r>
    <s v="TRAFEGO"/>
    <n v="900"/>
    <x v="7"/>
    <d v="2025-10-31T00:00:00"/>
    <x v="4"/>
  </r>
  <r>
    <s v="RAIHANA"/>
    <n v="440"/>
    <x v="7"/>
    <d v="2025-10-31T00:00:00"/>
    <x v="3"/>
  </r>
  <r>
    <s v="RAYANNE"/>
    <n v="380"/>
    <x v="7"/>
    <d v="2025-10-31T00:00:00"/>
    <x v="3"/>
  </r>
  <r>
    <s v="UBER"/>
    <n v="61"/>
    <x v="7"/>
    <d v="2025-10-31T00:00:00"/>
    <x v="3"/>
  </r>
  <r>
    <s v="ALINE"/>
    <n v="160"/>
    <x v="7"/>
    <d v="2025-10-31T00:00:00"/>
    <x v="3"/>
  </r>
  <r>
    <s v="BRUNA"/>
    <n v="340"/>
    <x v="8"/>
    <d v="2025-11-01T00:00:00"/>
    <x v="15"/>
  </r>
  <r>
    <s v="ANA"/>
    <n v="4000"/>
    <x v="8"/>
    <d v="2025-11-01T00:00:00"/>
    <x v="30"/>
  </r>
  <r>
    <s v="MANUNTENCAO MAPA"/>
    <n v="900"/>
    <x v="8"/>
    <d v="2025-11-01T00:00:00"/>
    <x v="6"/>
  </r>
  <r>
    <s v="GASTROCENTER"/>
    <n v="280"/>
    <x v="8"/>
    <d v="2025-11-01T00:00:00"/>
    <x v="7"/>
  </r>
  <r>
    <s v="IONE"/>
    <n v="1721"/>
    <x v="8"/>
    <d v="2025-11-03T00:00:00"/>
    <x v="30"/>
  </r>
  <r>
    <s v="MAYARA"/>
    <n v="2199"/>
    <x v="8"/>
    <d v="2025-11-03T00:00:00"/>
    <x v="30"/>
  </r>
  <r>
    <s v="INSUMO"/>
    <n v="509"/>
    <x v="8"/>
    <d v="2025-11-03T00:00:00"/>
    <x v="1"/>
  </r>
  <r>
    <s v="ALINE"/>
    <n v="200"/>
    <x v="8"/>
    <d v="2025-11-03T00:00:00"/>
    <x v="3"/>
  </r>
  <r>
    <s v="ARTUR FISIO"/>
    <n v="210"/>
    <x v="8"/>
    <d v="2025-11-03T00:00:00"/>
    <x v="3"/>
  </r>
  <r>
    <s v="MISAEL"/>
    <n v="320"/>
    <x v="8"/>
    <d v="2025-11-03T00:00:00"/>
    <x v="3"/>
  </r>
  <r>
    <s v="TACIANA"/>
    <n v="1730"/>
    <x v="8"/>
    <d v="2025-11-03T00:00:00"/>
    <x v="3"/>
  </r>
  <r>
    <s v="GASTROCENTER"/>
    <n v="460"/>
    <x v="8"/>
    <d v="2025-11-03T00:00:00"/>
    <x v="7"/>
  </r>
  <r>
    <s v="TOP"/>
    <n v="80"/>
    <x v="8"/>
    <d v="2025-11-03T00:00:00"/>
    <x v="7"/>
  </r>
  <r>
    <s v="ESTORNO"/>
    <n v="50"/>
    <x v="8"/>
    <d v="2025-11-04T00:00:00"/>
    <x v="9"/>
  </r>
  <r>
    <s v="INSUMO"/>
    <n v="1754"/>
    <x v="8"/>
    <d v="2025-11-04T00:00:00"/>
    <x v="1"/>
  </r>
  <r>
    <s v="AGUA"/>
    <n v="20"/>
    <x v="8"/>
    <d v="2025-11-04T00:00:00"/>
    <x v="1"/>
  </r>
  <r>
    <s v="LETICIA"/>
    <n v="1100"/>
    <x v="8"/>
    <d v="2025-11-04T00:00:00"/>
    <x v="3"/>
  </r>
  <r>
    <s v="ODON"/>
    <n v="850"/>
    <x v="8"/>
    <d v="2025-11-04T00:00:00"/>
    <x v="3"/>
  </r>
  <r>
    <s v="RAYANNE"/>
    <n v="623"/>
    <x v="8"/>
    <d v="2025-11-04T00:00:00"/>
    <x v="3"/>
  </r>
  <r>
    <s v="JUROS CHEQUE"/>
    <n v="273.5"/>
    <x v="8"/>
    <d v="2025-11-04T00:00:00"/>
    <x v="6"/>
  </r>
  <r>
    <s v="RODRIGO"/>
    <n v="870"/>
    <x v="8"/>
    <d v="2025-11-05T00:00:00"/>
    <x v="30"/>
  </r>
  <r>
    <s v="MAYARA"/>
    <n v="135"/>
    <x v="8"/>
    <d v="2025-11-05T00:00:00"/>
    <x v="30"/>
  </r>
  <r>
    <s v="CURSO"/>
    <n v="70"/>
    <x v="8"/>
    <d v="2025-11-05T00:00:00"/>
    <x v="30"/>
  </r>
  <r>
    <s v="INSUMO"/>
    <n v="230.4"/>
    <x v="8"/>
    <d v="2025-11-05T00:00:00"/>
    <x v="1"/>
  </r>
  <r>
    <s v="INSUMO"/>
    <n v="258.54000000000002"/>
    <x v="8"/>
    <d v="2025-11-05T00:00:00"/>
    <x v="1"/>
  </r>
  <r>
    <s v="ALINNE"/>
    <n v="880"/>
    <x v="8"/>
    <d v="2025-11-05T00:00:00"/>
    <x v="3"/>
  </r>
  <r>
    <s v="ANDRE"/>
    <n v="1400"/>
    <x v="8"/>
    <d v="2025-11-05T00:00:00"/>
    <x v="3"/>
  </r>
  <r>
    <s v="ARTUR FISIO"/>
    <n v="140"/>
    <x v="8"/>
    <d v="2025-11-05T00:00:00"/>
    <x v="3"/>
  </r>
  <r>
    <s v="RAISSA"/>
    <n v="1170"/>
    <x v="8"/>
    <d v="2025-11-05T00:00:00"/>
    <x v="3"/>
  </r>
  <r>
    <s v="RAYANNE"/>
    <n v="40"/>
    <x v="8"/>
    <d v="2025-11-05T00:00:00"/>
    <x v="3"/>
  </r>
  <r>
    <s v="THIAGO"/>
    <n v="550"/>
    <x v="8"/>
    <d v="2025-11-05T00:00:00"/>
    <x v="3"/>
  </r>
  <r>
    <s v="SODRE"/>
    <n v="339"/>
    <x v="8"/>
    <d v="2025-11-05T00:00:00"/>
    <x v="7"/>
  </r>
  <r>
    <s v="ALUGUEL"/>
    <n v="5000"/>
    <x v="8"/>
    <d v="2025-11-06T00:00:00"/>
    <x v="11"/>
  </r>
  <r>
    <s v="CONTADOR"/>
    <n v="600"/>
    <x v="8"/>
    <d v="2025-11-06T00:00:00"/>
    <x v="12"/>
  </r>
  <r>
    <s v="ESTORNO"/>
    <n v="40"/>
    <x v="8"/>
    <d v="2025-11-06T00:00:00"/>
    <x v="9"/>
  </r>
  <r>
    <s v="COPO"/>
    <n v="50"/>
    <x v="8"/>
    <d v="2025-11-06T00:00:00"/>
    <x v="1"/>
  </r>
  <r>
    <s v="CAMILLA"/>
    <n v="225"/>
    <x v="8"/>
    <d v="2025-11-06T00:00:00"/>
    <x v="3"/>
  </r>
  <r>
    <s v="DANILO"/>
    <n v="490"/>
    <x v="8"/>
    <d v="2025-11-06T00:00:00"/>
    <x v="3"/>
  </r>
  <r>
    <s v="CAFÉ"/>
    <n v="20"/>
    <x v="8"/>
    <d v="2025-11-07T00:00:00"/>
    <x v="1"/>
  </r>
  <r>
    <s v="ALINE"/>
    <n v="120"/>
    <x v="8"/>
    <d v="2025-11-07T00:00:00"/>
    <x v="3"/>
  </r>
  <r>
    <s v="ARTUR FISIO"/>
    <n v="335"/>
    <x v="8"/>
    <d v="2025-11-07T00:00:00"/>
    <x v="3"/>
  </r>
  <r>
    <s v="GASOLINA"/>
    <n v="200"/>
    <x v="8"/>
    <d v="2025-11-07T00:00:00"/>
    <x v="6"/>
  </r>
  <r>
    <s v="IMPRESSAO"/>
    <n v="42"/>
    <x v="8"/>
    <d v="2025-11-07T00:00:00"/>
    <x v="6"/>
  </r>
  <r>
    <s v="GK CIDRIM"/>
    <n v="1206"/>
    <x v="8"/>
    <d v="2025-11-07T00:00:00"/>
    <x v="7"/>
  </r>
  <r>
    <s v="TOP"/>
    <n v="40"/>
    <x v="8"/>
    <d v="2025-11-07T00:00:00"/>
    <x v="7"/>
  </r>
  <r>
    <s v="FAXINA"/>
    <n v="170"/>
    <x v="8"/>
    <d v="2025-11-08T00:00:00"/>
    <x v="15"/>
  </r>
  <r>
    <s v="LOTERICA"/>
    <n v="100"/>
    <x v="8"/>
    <d v="2025-11-08T00:00:00"/>
    <x v="4"/>
  </r>
  <r>
    <s v="MISAEL"/>
    <n v="2360"/>
    <x v="8"/>
    <d v="2025-11-08T00:00:00"/>
    <x v="3"/>
  </r>
  <r>
    <s v="RAYANNE"/>
    <n v="923"/>
    <x v="8"/>
    <d v="2025-11-08T00:00:00"/>
    <x v="3"/>
  </r>
  <r>
    <s v="TACIANA"/>
    <n v="1300"/>
    <x v="8"/>
    <d v="2025-11-08T00:00:00"/>
    <x v="3"/>
  </r>
  <r>
    <s v="ALMOÇO"/>
    <n v="133"/>
    <x v="8"/>
    <d v="2025-11-08T00:00:00"/>
    <x v="6"/>
  </r>
  <r>
    <s v="GASTROCENTER"/>
    <n v="280"/>
    <x v="8"/>
    <d v="2025-11-08T00:00:00"/>
    <x v="7"/>
  </r>
  <r>
    <s v="BRASCON"/>
    <n v="185"/>
    <x v="8"/>
    <d v="2025-11-10T00:00:00"/>
    <x v="31"/>
  </r>
  <r>
    <s v="ESTORNO"/>
    <n v="40"/>
    <x v="8"/>
    <d v="2025-11-10T00:00:00"/>
    <x v="9"/>
  </r>
  <r>
    <s v="AGUA"/>
    <n v="25"/>
    <x v="8"/>
    <d v="2025-11-10T00:00:00"/>
    <x v="1"/>
  </r>
  <r>
    <s v="TRAFEGO"/>
    <n v="225"/>
    <x v="8"/>
    <d v="2025-11-10T00:00:00"/>
    <x v="4"/>
  </r>
  <r>
    <s v="TRAFEGO"/>
    <n v="500"/>
    <x v="8"/>
    <d v="2025-11-10T00:00:00"/>
    <x v="4"/>
  </r>
  <r>
    <s v="VIDEOS"/>
    <n v="420"/>
    <x v="8"/>
    <d v="2025-11-10T00:00:00"/>
    <x v="4"/>
  </r>
  <r>
    <s v="ODON"/>
    <n v="540"/>
    <x v="8"/>
    <d v="2025-11-10T00:00:00"/>
    <x v="3"/>
  </r>
  <r>
    <s v="RAIHANA"/>
    <n v="380"/>
    <x v="8"/>
    <d v="2025-11-10T00:00:00"/>
    <x v="3"/>
  </r>
  <r>
    <s v="RODRIGO"/>
    <n v="6000"/>
    <x v="8"/>
    <d v="2025-11-10T00:00:00"/>
    <x v="10"/>
  </r>
  <r>
    <s v="PONTO"/>
    <n v="150"/>
    <x v="8"/>
    <d v="2025-11-10T00:00:00"/>
    <x v="17"/>
  </r>
  <r>
    <s v="CARDIOCENTRO"/>
    <n v="3750"/>
    <x v="8"/>
    <d v="2025-11-10T00:00:00"/>
    <x v="7"/>
  </r>
  <r>
    <s v="SODRE"/>
    <n v="385"/>
    <x v="8"/>
    <d v="2025-11-10T00:00:00"/>
    <x v="7"/>
  </r>
  <r>
    <s v="TOP"/>
    <n v="40"/>
    <x v="8"/>
    <d v="2025-11-10T00:00:00"/>
    <x v="7"/>
  </r>
  <r>
    <s v="ESTORNO"/>
    <n v="26"/>
    <x v="8"/>
    <d v="2025-11-11T00:00:00"/>
    <x v="9"/>
  </r>
  <r>
    <s v="SACOLA"/>
    <n v="41"/>
    <x v="8"/>
    <d v="2025-11-11T00:00:00"/>
    <x v="1"/>
  </r>
  <r>
    <s v="RAYANNE"/>
    <n v="550"/>
    <x v="8"/>
    <d v="2025-11-11T00:00:00"/>
    <x v="3"/>
  </r>
  <r>
    <s v="JANTAR"/>
    <n v="76"/>
    <x v="8"/>
    <d v="2025-11-11T00:00:00"/>
    <x v="6"/>
  </r>
  <r>
    <s v="GASTROCENTER"/>
    <n v="280"/>
    <x v="8"/>
    <d v="2025-11-11T00:00:00"/>
    <x v="7"/>
  </r>
  <r>
    <s v="TOP"/>
    <n v="1760"/>
    <x v="8"/>
    <d v="2025-11-11T00:00:00"/>
    <x v="7"/>
  </r>
  <r>
    <s v="THIAGO"/>
    <n v="2500"/>
    <x v="8"/>
    <d v="2025-11-12T00:00:00"/>
    <x v="12"/>
  </r>
  <r>
    <s v="ESTORNO"/>
    <n v="285"/>
    <x v="8"/>
    <d v="2025-11-12T00:00:00"/>
    <x v="9"/>
  </r>
  <r>
    <s v="FAST IA"/>
    <n v="1500"/>
    <x v="8"/>
    <d v="2025-11-12T00:00:00"/>
    <x v="22"/>
  </r>
  <r>
    <s v="ALINE"/>
    <n v="1525"/>
    <x v="8"/>
    <d v="2025-11-12T00:00:00"/>
    <x v="3"/>
  </r>
  <r>
    <s v="andre"/>
    <n v="910"/>
    <x v="8"/>
    <d v="2025-11-12T00:00:00"/>
    <x v="3"/>
  </r>
  <r>
    <s v="ARTUR FISIO"/>
    <n v="70"/>
    <x v="8"/>
    <d v="2025-11-12T00:00:00"/>
    <x v="3"/>
  </r>
  <r>
    <s v="MISAEL"/>
    <n v="360"/>
    <x v="8"/>
    <d v="2025-11-12T00:00:00"/>
    <x v="3"/>
  </r>
  <r>
    <s v="TOP"/>
    <n v="510"/>
    <x v="8"/>
    <d v="2025-11-12T00:00:00"/>
    <x v="7"/>
  </r>
  <r>
    <s v="TOP"/>
    <n v="40"/>
    <x v="8"/>
    <d v="2025-11-12T00:00:00"/>
    <x v="7"/>
  </r>
  <r>
    <s v="ESTORNO"/>
    <n v="37.5"/>
    <x v="8"/>
    <d v="2025-11-13T00:00:00"/>
    <x v="9"/>
  </r>
  <r>
    <s v="CAMILLA"/>
    <n v="270"/>
    <x v="8"/>
    <d v="2025-11-13T00:00:00"/>
    <x v="3"/>
  </r>
  <r>
    <s v="CESAR"/>
    <n v="555"/>
    <x v="8"/>
    <d v="2025-11-13T00:00:00"/>
    <x v="3"/>
  </r>
  <r>
    <s v="DANILO"/>
    <n v="570"/>
    <x v="8"/>
    <d v="2025-11-13T00:00:00"/>
    <x v="3"/>
  </r>
  <r>
    <s v="GASTROCENTER"/>
    <n v="280"/>
    <x v="8"/>
    <d v="2025-11-13T00:00:00"/>
    <x v="7"/>
  </r>
  <r>
    <s v="LABORATORIO"/>
    <n v="1684.86"/>
    <x v="8"/>
    <d v="2025-11-13T00:00:00"/>
    <x v="7"/>
  </r>
  <r>
    <s v="FGTS"/>
    <n v="1354.18"/>
    <x v="8"/>
    <d v="2025-11-14T00:00:00"/>
    <x v="16"/>
  </r>
  <r>
    <s v="HOLTER"/>
    <n v="580"/>
    <x v="8"/>
    <d v="2025-11-14T00:00:00"/>
    <x v="26"/>
  </r>
  <r>
    <s v="TRAFEGO"/>
    <n v="900"/>
    <x v="8"/>
    <d v="2025-11-14T00:00:00"/>
    <x v="4"/>
  </r>
  <r>
    <s v="TRAFEGO"/>
    <n v="900"/>
    <x v="8"/>
    <d v="2025-11-14T00:00:00"/>
    <x v="4"/>
  </r>
  <r>
    <s v="aline"/>
    <n v="440"/>
    <x v="8"/>
    <d v="2025-11-14T00:00:00"/>
    <x v="3"/>
  </r>
  <r>
    <s v="RAYANNE"/>
    <n v="815"/>
    <x v="8"/>
    <d v="2025-11-14T00:00:00"/>
    <x v="3"/>
  </r>
  <r>
    <s v="BOLO"/>
    <n v="80"/>
    <x v="8"/>
    <d v="2025-11-14T00:00:00"/>
    <x v="6"/>
  </r>
  <r>
    <s v="MANUNTENCAO"/>
    <n v="50"/>
    <x v="8"/>
    <d v="2025-11-14T00:00:00"/>
    <x v="6"/>
  </r>
  <r>
    <s v="TOP"/>
    <n v="860"/>
    <x v="8"/>
    <d v="2025-11-14T00:00:00"/>
    <x v="7"/>
  </r>
  <r>
    <s v="BRUNA"/>
    <n v="170"/>
    <x v="8"/>
    <d v="2025-11-15T00:00:00"/>
    <x v="15"/>
  </r>
  <r>
    <s v="PAULA"/>
    <n v="70"/>
    <x v="8"/>
    <d v="2025-11-15T00:00:00"/>
    <x v="4"/>
  </r>
  <r>
    <s v="POSTURA GABRIEL"/>
    <n v="130"/>
    <x v="8"/>
    <d v="2025-11-15T00:00:00"/>
    <x v="4"/>
  </r>
  <r>
    <s v="vitoria"/>
    <n v="74.5"/>
    <x v="8"/>
    <d v="2025-11-15T00:00:00"/>
    <x v="4"/>
  </r>
  <r>
    <s v="ARTUR FISIO"/>
    <n v="105"/>
    <x v="8"/>
    <d v="2025-11-15T00:00:00"/>
    <x v="3"/>
  </r>
  <r>
    <s v="brena"/>
    <n v="440"/>
    <x v="8"/>
    <d v="2025-11-15T00:00:00"/>
    <x v="3"/>
  </r>
  <r>
    <s v="DANIELLA"/>
    <n v="1220"/>
    <x v="8"/>
    <d v="2025-11-15T00:00:00"/>
    <x v="3"/>
  </r>
  <r>
    <s v="TACIANA"/>
    <n v="575"/>
    <x v="8"/>
    <d v="2025-11-15T00:00:00"/>
    <x v="3"/>
  </r>
  <r>
    <s v="vigilante"/>
    <n v="200"/>
    <x v="8"/>
    <d v="2025-11-15T00:00:00"/>
    <x v="27"/>
  </r>
  <r>
    <s v="ALVARO"/>
    <n v="6066"/>
    <x v="8"/>
    <d v="2025-11-17T00:00:00"/>
    <x v="5"/>
  </r>
  <r>
    <s v="POSTURA GABRIEL"/>
    <n v="720"/>
    <x v="8"/>
    <d v="2025-11-17T00:00:00"/>
    <x v="4"/>
  </r>
  <r>
    <s v="MISAEL"/>
    <n v="110"/>
    <x v="8"/>
    <d v="2025-11-17T00:00:00"/>
    <x v="3"/>
  </r>
  <r>
    <s v="MISAEL"/>
    <n v="1527"/>
    <x v="8"/>
    <d v="2025-11-17T00:00:00"/>
    <x v="3"/>
  </r>
  <r>
    <s v="ODON"/>
    <n v="680"/>
    <x v="8"/>
    <d v="2025-11-17T00:00:00"/>
    <x v="3"/>
  </r>
  <r>
    <s v="VERISURE"/>
    <n v="270"/>
    <x v="8"/>
    <d v="2025-11-17T00:00:00"/>
    <x v="27"/>
  </r>
  <r>
    <s v="GASTROCENTER"/>
    <n v="280"/>
    <x v="8"/>
    <d v="2025-11-17T00:00:00"/>
    <x v="7"/>
  </r>
  <r>
    <s v="TOP"/>
    <n v="120"/>
    <x v="8"/>
    <d v="2025-11-17T00:00:00"/>
    <x v="7"/>
  </r>
  <r>
    <s v="TOXICOLOGICO"/>
    <n v="605"/>
    <x v="8"/>
    <d v="2025-11-17T00:00:00"/>
    <x v="7"/>
  </r>
  <r>
    <s v="TOXICOLOGICO"/>
    <n v="225"/>
    <x v="8"/>
    <d v="2025-11-17T00:00:00"/>
    <x v="7"/>
  </r>
  <r>
    <s v="RODRIGO"/>
    <n v="1140"/>
    <x v="8"/>
    <d v="2025-11-18T00:00:00"/>
    <x v="30"/>
  </r>
  <r>
    <s v="AGUA"/>
    <n v="20"/>
    <x v="8"/>
    <d v="2025-11-18T00:00:00"/>
    <x v="1"/>
  </r>
  <r>
    <s v="INTERNET"/>
    <n v="270"/>
    <x v="8"/>
    <d v="2025-11-18T00:00:00"/>
    <x v="13"/>
  </r>
  <r>
    <s v="GOOGLE"/>
    <n v="225"/>
    <x v="8"/>
    <d v="2025-11-18T00:00:00"/>
    <x v="4"/>
  </r>
  <r>
    <s v="LETICIA"/>
    <n v="1210"/>
    <x v="8"/>
    <d v="2025-11-18T00:00:00"/>
    <x v="3"/>
  </r>
  <r>
    <s v="RAISSA"/>
    <n v="925"/>
    <x v="8"/>
    <d v="2025-11-18T00:00:00"/>
    <x v="3"/>
  </r>
  <r>
    <s v="RAYANNE"/>
    <n v="880"/>
    <x v="8"/>
    <d v="2025-11-18T00:00:00"/>
    <x v="3"/>
  </r>
  <r>
    <s v="GASTROCENTER"/>
    <n v="280"/>
    <x v="8"/>
    <d v="2025-11-18T00:00:00"/>
    <x v="7"/>
  </r>
  <r>
    <s v="PREVIMAGEM"/>
    <n v="4895"/>
    <x v="8"/>
    <d v="2025-11-18T00:00:00"/>
    <x v="7"/>
  </r>
  <r>
    <s v="TOP"/>
    <n v="430"/>
    <x v="8"/>
    <d v="2025-11-18T00:00:00"/>
    <x v="7"/>
  </r>
  <r>
    <s v="ESTORNO"/>
    <n v="850"/>
    <x v="8"/>
    <d v="2025-11-19T00:00:00"/>
    <x v="9"/>
  </r>
  <r>
    <s v="ESTORNO"/>
    <n v="990"/>
    <x v="8"/>
    <d v="2025-11-19T00:00:00"/>
    <x v="9"/>
  </r>
  <r>
    <s v="medical"/>
    <n v="30"/>
    <x v="8"/>
    <d v="2025-11-19T00:00:00"/>
    <x v="1"/>
  </r>
  <r>
    <s v="ANDRE"/>
    <n v="1170"/>
    <x v="8"/>
    <d v="2025-11-19T00:00:00"/>
    <x v="3"/>
  </r>
  <r>
    <s v="MISAEL"/>
    <n v="705"/>
    <x v="8"/>
    <d v="2025-11-19T00:00:00"/>
    <x v="3"/>
  </r>
  <r>
    <s v="THIAGO"/>
    <n v="730"/>
    <x v="8"/>
    <d v="2025-11-19T00:00:00"/>
    <x v="3"/>
  </r>
  <r>
    <s v="top"/>
    <n v="80"/>
    <x v="8"/>
    <d v="2025-11-19T00:00:00"/>
    <x v="7"/>
  </r>
  <r>
    <s v="IONE"/>
    <n v="100"/>
    <x v="8"/>
    <d v="2025-11-20T00:00:00"/>
    <x v="30"/>
  </r>
  <r>
    <s v="KENIO"/>
    <n v="825"/>
    <x v="8"/>
    <d v="2025-11-20T00:00:00"/>
    <x v="3"/>
  </r>
  <r>
    <s v="MISAEL"/>
    <n v="1000"/>
    <x v="8"/>
    <d v="2025-11-20T00:00:00"/>
    <x v="3"/>
  </r>
  <r>
    <s v="CONSULTORIA"/>
    <n v="1750"/>
    <x v="8"/>
    <d v="2025-11-21T00:00:00"/>
    <x v="29"/>
  </r>
  <r>
    <s v="BRUNA"/>
    <n v="300"/>
    <x v="8"/>
    <d v="2025-11-21T00:00:00"/>
    <x v="15"/>
  </r>
  <r>
    <s v="AGUA"/>
    <n v="20"/>
    <x v="8"/>
    <d v="2025-11-21T00:00:00"/>
    <x v="1"/>
  </r>
  <r>
    <s v="SITE"/>
    <n v="36"/>
    <x v="8"/>
    <d v="2025-11-21T00:00:00"/>
    <x v="4"/>
  </r>
  <r>
    <s v="TRAFEGO"/>
    <n v="900"/>
    <x v="8"/>
    <d v="2025-11-21T00:00:00"/>
    <x v="4"/>
  </r>
  <r>
    <s v="ARTUR FISIO"/>
    <n v="245"/>
    <x v="8"/>
    <d v="2025-11-21T00:00:00"/>
    <x v="3"/>
  </r>
  <r>
    <s v="RAYANNE"/>
    <n v="1338"/>
    <x v="8"/>
    <d v="2025-11-21T00:00:00"/>
    <x v="3"/>
  </r>
  <r>
    <s v="GASTROCENTER"/>
    <n v="280"/>
    <x v="8"/>
    <d v="2025-11-21T00:00:00"/>
    <x v="7"/>
  </r>
  <r>
    <s v="GASTROCENTER"/>
    <n v="460"/>
    <x v="8"/>
    <d v="2025-11-21T00:00:00"/>
    <x v="7"/>
  </r>
  <r>
    <s v="TOP"/>
    <n v="510"/>
    <x v="8"/>
    <d v="2025-11-21T00:00:00"/>
    <x v="7"/>
  </r>
  <r>
    <s v="ESTORNO"/>
    <n v="615"/>
    <x v="8"/>
    <d v="2025-11-22T00:00:00"/>
    <x v="9"/>
  </r>
  <r>
    <s v="ESTORNO"/>
    <n v="40"/>
    <x v="8"/>
    <d v="2025-11-24T00:00:00"/>
    <x v="9"/>
  </r>
  <r>
    <s v="ALINE"/>
    <n v="280"/>
    <x v="8"/>
    <d v="2025-11-24T00:00:00"/>
    <x v="3"/>
  </r>
  <r>
    <s v="MISAEL"/>
    <n v="2364"/>
    <x v="8"/>
    <d v="2025-11-24T00:00:00"/>
    <x v="3"/>
  </r>
  <r>
    <s v="MISAEL"/>
    <n v="220"/>
    <x v="8"/>
    <d v="2025-11-24T00:00:00"/>
    <x v="3"/>
  </r>
  <r>
    <s v="ODON"/>
    <n v="360"/>
    <x v="8"/>
    <d v="2025-11-24T00:00:00"/>
    <x v="3"/>
  </r>
  <r>
    <s v="RAIHANA"/>
    <n v="620"/>
    <x v="8"/>
    <d v="2025-11-24T00:00:00"/>
    <x v="3"/>
  </r>
  <r>
    <s v="TACIANA"/>
    <n v="1130"/>
    <x v="8"/>
    <d v="2025-11-24T00:00:00"/>
    <x v="3"/>
  </r>
  <r>
    <s v="TOP"/>
    <n v="490"/>
    <x v="8"/>
    <d v="2025-11-24T00:00:00"/>
    <x v="7"/>
  </r>
  <r>
    <s v="CARTAO"/>
    <n v="1500"/>
    <x v="8"/>
    <d v="2025-11-25T00:00:00"/>
    <x v="1"/>
  </r>
  <r>
    <s v="ALINE"/>
    <n v="1200"/>
    <x v="8"/>
    <d v="2025-11-25T00:00:00"/>
    <x v="3"/>
  </r>
  <r>
    <s v="GASTROCENTER"/>
    <n v="560"/>
    <x v="8"/>
    <d v="2025-11-25T00:00:00"/>
    <x v="7"/>
  </r>
  <r>
    <s v="TOP"/>
    <n v="80"/>
    <x v="8"/>
    <d v="2025-11-25T00:00:00"/>
    <x v="7"/>
  </r>
  <r>
    <s v="ENERGIA"/>
    <n v="1232.8699999999999"/>
    <x v="8"/>
    <d v="2025-11-26T00:00:00"/>
    <x v="21"/>
  </r>
  <r>
    <s v="SACOLA"/>
    <n v="41"/>
    <x v="8"/>
    <d v="2025-11-26T00:00:00"/>
    <x v="1"/>
  </r>
  <r>
    <s v="ANDRE"/>
    <n v="1105"/>
    <x v="8"/>
    <d v="2025-11-26T00:00:00"/>
    <x v="3"/>
  </r>
  <r>
    <s v="DANIELA"/>
    <n v="450"/>
    <x v="8"/>
    <d v="2025-11-26T00:00:00"/>
    <x v="3"/>
  </r>
  <r>
    <s v="MISAEL"/>
    <n v="775"/>
    <x v="8"/>
    <d v="2025-11-26T00:00:00"/>
    <x v="3"/>
  </r>
  <r>
    <s v="TOP"/>
    <n v="40"/>
    <x v="8"/>
    <d v="2025-11-26T00:00:00"/>
    <x v="7"/>
  </r>
  <r>
    <s v="PILHA"/>
    <n v="20"/>
    <x v="8"/>
    <d v="2025-11-27T00:00:00"/>
    <x v="1"/>
  </r>
  <r>
    <s v="CAVALETE"/>
    <n v="250"/>
    <x v="8"/>
    <d v="2025-11-27T00:00:00"/>
    <x v="4"/>
  </r>
  <r>
    <s v="NEURO"/>
    <n v="600"/>
    <x v="8"/>
    <d v="2025-11-27T00:00:00"/>
    <x v="3"/>
  </r>
  <r>
    <s v="THIAGO"/>
    <n v="670"/>
    <x v="8"/>
    <d v="2025-11-27T00:00:00"/>
    <x v="3"/>
  </r>
  <r>
    <s v="CERTIFICADO DIGITAL"/>
    <n v="295"/>
    <x v="8"/>
    <d v="2025-11-28T00:00:00"/>
    <x v="12"/>
  </r>
  <r>
    <s v="MAYARA"/>
    <n v="426.75"/>
    <x v="8"/>
    <d v="2025-11-28T00:00:00"/>
    <x v="30"/>
  </r>
  <r>
    <s v="IONE"/>
    <n v="332.93"/>
    <x v="8"/>
    <d v="2025-11-28T00:00:00"/>
    <x v="30"/>
  </r>
  <r>
    <s v="TRAFEGO"/>
    <n v="900"/>
    <x v="8"/>
    <d v="2025-11-28T00:00:00"/>
    <x v="4"/>
  </r>
  <r>
    <s v="ALINE"/>
    <n v="240"/>
    <x v="8"/>
    <d v="2025-11-28T00:00:00"/>
    <x v="3"/>
  </r>
  <r>
    <s v="NUTRI"/>
    <n v="160"/>
    <x v="8"/>
    <d v="2025-11-28T00:00:00"/>
    <x v="3"/>
  </r>
  <r>
    <s v="FERNANDO"/>
    <n v="100"/>
    <x v="8"/>
    <d v="2025-11-28T00:00:00"/>
    <x v="7"/>
  </r>
  <r>
    <s v="GASTROCENTER"/>
    <n v="280"/>
    <x v="8"/>
    <d v="2025-11-28T00:00:00"/>
    <x v="7"/>
  </r>
  <r>
    <s v="GASTROCENTER"/>
    <n v="740"/>
    <x v="8"/>
    <d v="2025-11-28T00:00:00"/>
    <x v="7"/>
  </r>
  <r>
    <s v="TOP"/>
    <n v="80"/>
    <x v="8"/>
    <d v="2025-11-28T00:00:00"/>
    <x v="7"/>
  </r>
  <r>
    <s v="BRUNA"/>
    <n v="230"/>
    <x v="8"/>
    <d v="2025-11-29T00:00:00"/>
    <x v="15"/>
  </r>
  <r>
    <s v="BRENA"/>
    <n v="600"/>
    <x v="8"/>
    <d v="2025-11-29T00:00:00"/>
    <x v="3"/>
  </r>
  <r>
    <s v="KENIO"/>
    <n v="1105"/>
    <x v="8"/>
    <d v="2025-11-29T00:00:00"/>
    <x v="3"/>
  </r>
  <r>
    <s v="TACIANA"/>
    <n v="1745"/>
    <x v="8"/>
    <d v="2025-11-29T00:00:00"/>
    <x v="3"/>
  </r>
  <r>
    <s v="GASTROCENTER"/>
    <n v="280"/>
    <x v="8"/>
    <d v="2025-11-29T00:00:00"/>
    <x v="7"/>
  </r>
  <r>
    <s v="ESTORNO"/>
    <n v="40"/>
    <x v="9"/>
    <d v="2025-12-01T00:00:00"/>
    <x v="9"/>
  </r>
  <r>
    <s v="RODRIGO"/>
    <n v="2060"/>
    <x v="9"/>
    <d v="2025-12-01T00:00:00"/>
    <x v="30"/>
  </r>
  <r>
    <s v="RAIHANA"/>
    <n v="360"/>
    <x v="9"/>
    <d v="2025-12-01T00:00:00"/>
    <x v="3"/>
  </r>
  <r>
    <s v="ESTORNO"/>
    <n v="40"/>
    <x v="9"/>
    <d v="2025-12-01T00:00:00"/>
    <x v="9"/>
  </r>
  <r>
    <s v="TRAFEGO"/>
    <n v="1528"/>
    <x v="9"/>
    <d v="2025-12-01T00:00:00"/>
    <x v="4"/>
  </r>
  <r>
    <s v="RAIO X"/>
    <n v="40"/>
    <x v="9"/>
    <d v="2025-12-01T00:00:00"/>
    <x v="7"/>
  </r>
  <r>
    <s v="INSUMOS"/>
    <n v="140"/>
    <x v="9"/>
    <d v="2025-12-01T00:00:00"/>
    <x v="1"/>
  </r>
  <r>
    <s v="INSUMOS"/>
    <n v="14"/>
    <x v="9"/>
    <d v="2025-12-01T00:00:00"/>
    <x v="1"/>
  </r>
  <r>
    <s v="MISAEL"/>
    <n v="220"/>
    <x v="9"/>
    <d v="2025-12-01T00:00:00"/>
    <x v="3"/>
  </r>
  <r>
    <s v="ODON"/>
    <n v="550"/>
    <x v="9"/>
    <d v="2025-12-01T00:00:00"/>
    <x v="3"/>
  </r>
  <r>
    <s v="INSUMOS"/>
    <n v="204.4"/>
    <x v="9"/>
    <d v="2025-12-02T00:00:00"/>
    <x v="1"/>
  </r>
  <r>
    <s v="RAYANNE"/>
    <n v="765"/>
    <x v="9"/>
    <d v="2025-12-02T00:00:00"/>
    <x v="3"/>
  </r>
  <r>
    <s v="RAISSA"/>
    <n v="995"/>
    <x v="9"/>
    <d v="2025-12-02T00:00:00"/>
    <x v="3"/>
  </r>
  <r>
    <s v="MANUNTENCAO PORTA"/>
    <n v="30"/>
    <x v="9"/>
    <d v="2025-12-02T00:00:00"/>
    <x v="6"/>
  </r>
  <r>
    <s v="ESTORNO"/>
    <n v="100"/>
    <x v="9"/>
    <d v="2025-12-02T00:00:00"/>
    <x v="9"/>
  </r>
  <r>
    <s v="andre"/>
    <n v="780"/>
    <x v="9"/>
    <d v="2025-12-03T00:00:00"/>
    <x v="3"/>
  </r>
  <r>
    <s v="ana"/>
    <n v="810"/>
    <x v="9"/>
    <d v="2025-12-03T00:00:00"/>
    <x v="3"/>
  </r>
  <r>
    <s v="uber"/>
    <n v="13"/>
    <x v="9"/>
    <d v="2025-12-03T00:00:00"/>
    <x v="6"/>
  </r>
  <r>
    <s v="top"/>
    <n v="40"/>
    <x v="9"/>
    <d v="2025-12-03T00:00:00"/>
    <x v="7"/>
  </r>
  <r>
    <s v="INSUMOS"/>
    <n v="1475"/>
    <x v="9"/>
    <d v="2025-12-03T00:00:00"/>
    <x v="1"/>
  </r>
  <r>
    <s v="INSUMOS"/>
    <n v="430"/>
    <x v="9"/>
    <d v="2025-12-03T00:00:00"/>
    <x v="1"/>
  </r>
  <r>
    <s v="VT VITORIA"/>
    <n v="172"/>
    <x v="9"/>
    <d v="2025-12-03T00:00:00"/>
    <x v="30"/>
  </r>
  <r>
    <s v="SALARIO BIA"/>
    <n v="4000"/>
    <x v="9"/>
    <d v="2025-12-03T00:00:00"/>
    <x v="30"/>
  </r>
  <r>
    <s v="VR VITORIA"/>
    <n v="348.5"/>
    <x v="9"/>
    <d v="2025-12-03T00:00:00"/>
    <x v="30"/>
  </r>
  <r>
    <s v="VR IONE"/>
    <n v="348.5"/>
    <x v="9"/>
    <d v="2025-12-03T00:00:00"/>
    <x v="30"/>
  </r>
  <r>
    <s v="VR MAYARA"/>
    <n v="348.5"/>
    <x v="9"/>
    <d v="2025-12-03T00:00:00"/>
    <x v="30"/>
  </r>
  <r>
    <s v="SALARIO PATRICIA"/>
    <n v="2000"/>
    <x v="9"/>
    <d v="2025-12-03T00:00:00"/>
    <x v="30"/>
  </r>
  <r>
    <s v="BOLSA ESTAGIO"/>
    <n v="800"/>
    <x v="9"/>
    <d v="2025-12-03T00:00:00"/>
    <x v="30"/>
  </r>
  <r>
    <s v="THIAGO"/>
    <n v="340"/>
    <x v="9"/>
    <d v="2025-12-03T00:00:00"/>
    <x v="3"/>
  </r>
  <r>
    <s v="LETICIA"/>
    <n v="680"/>
    <x v="9"/>
    <d v="2025-12-03T00:00:00"/>
    <x v="3"/>
  </r>
  <r>
    <s v="TOP"/>
    <n v="865"/>
    <x v="9"/>
    <d v="2025-12-03T00:00:00"/>
    <x v="7"/>
  </r>
  <r>
    <s v="UBER"/>
    <n v="13"/>
    <x v="9"/>
    <d v="2025-12-04T00:00:00"/>
    <x v="6"/>
  </r>
  <r>
    <s v="CAMILLA"/>
    <n v="85"/>
    <x v="9"/>
    <d v="2025-12-04T00:00:00"/>
    <x v="3"/>
  </r>
  <r>
    <s v="AGUA"/>
    <n v="20"/>
    <x v="9"/>
    <d v="2025-12-04T00:00:00"/>
    <x v="1"/>
  </r>
  <r>
    <s v="PADARIA"/>
    <n v="30"/>
    <x v="9"/>
    <d v="2025-12-05T00:00:00"/>
    <x v="6"/>
  </r>
  <r>
    <s v="SEGURO"/>
    <n v="55"/>
    <x v="9"/>
    <d v="2025-12-05T00:00:00"/>
    <x v="30"/>
  </r>
  <r>
    <s v="CARDIOCENTRO"/>
    <n v="7520"/>
    <x v="9"/>
    <d v="2025-12-08T00:00:00"/>
    <x v="7"/>
  </r>
  <r>
    <s v="BONSUCESSO"/>
    <n v="90"/>
    <x v="9"/>
    <d v="2025-12-08T00:00:00"/>
    <x v="4"/>
  </r>
  <r>
    <s v="MISAEL"/>
    <n v="720"/>
    <x v="9"/>
    <d v="2025-12-08T00:00:00"/>
    <x v="3"/>
  </r>
  <r>
    <s v="ARTHUR"/>
    <n v="735"/>
    <x v="9"/>
    <d v="2025-12-08T00:00:00"/>
    <x v="3"/>
  </r>
  <r>
    <s v="ERLON"/>
    <n v="190"/>
    <x v="9"/>
    <d v="2025-12-08T00:00:00"/>
    <x v="4"/>
  </r>
  <r>
    <s v="BRUNA"/>
    <n v="175"/>
    <x v="9"/>
    <d v="2025-12-08T00:00:00"/>
    <x v="15"/>
  </r>
  <r>
    <s v="MISAEL"/>
    <n v="730"/>
    <x v="9"/>
    <d v="2025-12-08T00:00:00"/>
    <x v="3"/>
  </r>
  <r>
    <s v="MISAEL"/>
    <n v="110"/>
    <x v="9"/>
    <d v="2025-12-08T00:00:00"/>
    <x v="3"/>
  </r>
  <r>
    <s v="RAYANNE"/>
    <n v="1425"/>
    <x v="9"/>
    <d v="2025-12-08T00:00:00"/>
    <x v="3"/>
  </r>
  <r>
    <s v="ALINE"/>
    <n v="515"/>
    <x v="9"/>
    <d v="2025-12-08T00:00:00"/>
    <x v="3"/>
  </r>
  <r>
    <s v="ALUGUEL"/>
    <n v="5000"/>
    <x v="9"/>
    <d v="2025-12-08T00:00:00"/>
    <x v="11"/>
  </r>
  <r>
    <s v="RODRIGO"/>
    <n v="100"/>
    <x v="9"/>
    <d v="2025-12-08T00:00:00"/>
    <x v="30"/>
  </r>
  <r>
    <s v="GASTROCENTER"/>
    <n v="460"/>
    <x v="9"/>
    <d v="2025-12-08T00:00:00"/>
    <x v="7"/>
  </r>
  <r>
    <s v="ALINE"/>
    <n v="120"/>
    <x v="9"/>
    <d v="2025-12-08T00:00:00"/>
    <x v="3"/>
  </r>
  <r>
    <s v="TOP"/>
    <n v="430"/>
    <x v="9"/>
    <d v="2025-12-08T00:00:00"/>
    <x v="7"/>
  </r>
  <r>
    <s v="LETICIA"/>
    <n v="750"/>
    <x v="9"/>
    <d v="2025-12-09T00:00:00"/>
    <x v="3"/>
  </r>
  <r>
    <s v="DANIELA"/>
    <n v="900"/>
    <x v="9"/>
    <d v="2025-12-09T00:00:00"/>
    <x v="3"/>
  </r>
  <r>
    <s v="RAYANNE"/>
    <n v="740"/>
    <x v="9"/>
    <d v="2025-12-09T00:00:00"/>
    <x v="3"/>
  </r>
  <r>
    <s v="MISAEL"/>
    <n v="1905"/>
    <x v="9"/>
    <d v="2025-12-09T00:00:00"/>
    <x v="3"/>
  </r>
  <r>
    <s v="ARTHUR"/>
    <n v="140"/>
    <x v="9"/>
    <d v="2025-12-09T00:00:00"/>
    <x v="3"/>
  </r>
  <r>
    <s v="FGTS"/>
    <n v="750"/>
    <x v="9"/>
    <d v="2025-12-09T00:00:00"/>
    <x v="16"/>
  </r>
  <r>
    <s v="TIAGO"/>
    <n v="780"/>
    <x v="9"/>
    <d v="2025-12-09T00:00:00"/>
    <x v="3"/>
  </r>
  <r>
    <s v="ANDRE"/>
    <n v="1235"/>
    <x v="9"/>
    <d v="2025-12-09T00:00:00"/>
    <x v="3"/>
  </r>
  <r>
    <s v="ULTRAMEGA"/>
    <n v="190"/>
    <x v="9"/>
    <d v="2025-12-09T00:00:00"/>
    <x v="1"/>
  </r>
  <r>
    <s v="LAB GK"/>
    <n v="620"/>
    <x v="9"/>
    <d v="2025-12-09T00:00:00"/>
    <x v="7"/>
  </r>
  <r>
    <s v="MISAEL"/>
    <n v="1899"/>
    <x v="9"/>
    <d v="2025-12-09T00:00:00"/>
    <x v="3"/>
  </r>
  <r>
    <s v="LIVIA"/>
    <n v="120"/>
    <x v="9"/>
    <d v="2025-12-09T00:00:00"/>
    <x v="3"/>
  </r>
  <r>
    <s v="AGUA"/>
    <n v="20"/>
    <x v="9"/>
    <d v="2025-12-09T00:00:00"/>
    <x v="1"/>
  </r>
  <r>
    <s v="MATERIAL"/>
    <n v="190"/>
    <x v="9"/>
    <d v="2025-12-09T00:00:00"/>
    <x v="1"/>
  </r>
  <r>
    <s v="INSUMOS"/>
    <n v="80"/>
    <x v="9"/>
    <d v="2025-12-11T00:00:00"/>
    <x v="1"/>
  </r>
  <r>
    <s v="ESTORNO"/>
    <n v="105"/>
    <x v="9"/>
    <d v="2025-12-11T00:00:00"/>
    <x v="9"/>
  </r>
  <r>
    <s v="CAMILLA"/>
    <n v="270"/>
    <x v="9"/>
    <d v="2025-12-11T00:00:00"/>
    <x v="3"/>
  </r>
  <r>
    <s v="INACIA"/>
    <n v="1050"/>
    <x v="9"/>
    <d v="2025-12-11T00:00:00"/>
    <x v="3"/>
  </r>
  <r>
    <s v="GASTROCENTER"/>
    <n v="280"/>
    <x v="9"/>
    <d v="2025-12-12T00:00:00"/>
    <x v="7"/>
  </r>
  <r>
    <s v="CONTADOR"/>
    <n v="600"/>
    <x v="9"/>
    <d v="2025-12-12T00:00:00"/>
    <x v="12"/>
  </r>
  <r>
    <s v="PILHA"/>
    <n v="27"/>
    <x v="9"/>
    <d v="2025-12-12T00:00:00"/>
    <x v="1"/>
  </r>
  <r>
    <s v="ARTHUR"/>
    <n v="35"/>
    <x v="9"/>
    <d v="2025-12-12T00:00:00"/>
    <x v="3"/>
  </r>
  <r>
    <s v="LAB GK"/>
    <n v="1755.95"/>
    <x v="9"/>
    <d v="2025-12-12T00:00:00"/>
    <x v="7"/>
  </r>
  <r>
    <s v="TOP"/>
    <n v="80"/>
    <x v="9"/>
    <d v="2025-12-12T00:00:00"/>
    <x v="7"/>
  </r>
  <r>
    <s v="RODRIGO"/>
    <n v="300"/>
    <x v="9"/>
    <d v="2025-12-13T00:00:00"/>
    <x v="30"/>
  </r>
  <r>
    <s v="BRUNA"/>
    <n v="170"/>
    <x v="9"/>
    <d v="2025-12-13T00:00:00"/>
    <x v="15"/>
  </r>
  <r>
    <s v="MISAEL"/>
    <n v="3111"/>
    <x v="9"/>
    <d v="2025-12-15T00:00:00"/>
    <x v="3"/>
  </r>
  <r>
    <s v="MISAEL"/>
    <n v="170"/>
    <x v="9"/>
    <d v="2025-12-15T00:00:00"/>
    <x v="3"/>
  </r>
  <r>
    <s v="TACIANA"/>
    <n v="965"/>
    <x v="9"/>
    <d v="2025-12-15T00:00:00"/>
    <x v="3"/>
  </r>
  <r>
    <s v="RAIHANA"/>
    <n v="360"/>
    <x v="9"/>
    <d v="2025-12-15T00:00:00"/>
    <x v="3"/>
  </r>
  <r>
    <s v="ALINE"/>
    <n v="120"/>
    <x v="9"/>
    <d v="2025-12-15T00:00:00"/>
    <x v="3"/>
  </r>
  <r>
    <s v="ODON"/>
    <n v="600"/>
    <x v="9"/>
    <d v="2025-12-16T00:00:00"/>
    <x v="3"/>
  </r>
  <r>
    <s v="CEMUP"/>
    <n v="1040"/>
    <x v="9"/>
    <d v="2025-12-16T00:00:00"/>
    <x v="7"/>
  </r>
  <r>
    <s v="SEGURANCA"/>
    <n v="200"/>
    <x v="9"/>
    <d v="2025-12-16T00:00:00"/>
    <x v="32"/>
  </r>
  <r>
    <s v="RAYANNE"/>
    <n v="885"/>
    <x v="9"/>
    <d v="2025-12-16T00:00:00"/>
    <x v="3"/>
  </r>
  <r>
    <s v="ESTORNO"/>
    <n v="140"/>
    <x v="9"/>
    <d v="2025-12-16T00:00:00"/>
    <x v="9"/>
  </r>
  <r>
    <s v="LETICIA"/>
    <n v="1000"/>
    <x v="9"/>
    <d v="2025-12-16T00:00:00"/>
    <x v="3"/>
  </r>
  <r>
    <s v="HOLTER"/>
    <n v="580"/>
    <x v="9"/>
    <d v="2025-12-16T00:00:00"/>
    <x v="33"/>
  </r>
  <r>
    <s v="PAPEL"/>
    <n v="240"/>
    <x v="9"/>
    <d v="2025-12-17T00:00:00"/>
    <x v="1"/>
  </r>
  <r>
    <s v="GASTROCENTER"/>
    <n v="280"/>
    <x v="9"/>
    <d v="2025-12-17T00:00:00"/>
    <x v="7"/>
  </r>
  <r>
    <s v="TOP"/>
    <n v="80"/>
    <x v="9"/>
    <d v="2025-12-17T00:00:00"/>
    <x v="7"/>
  </r>
  <r>
    <s v="RAISSA"/>
    <n v="940"/>
    <x v="9"/>
    <d v="2025-12-17T00:00:00"/>
    <x v="3"/>
  </r>
  <r>
    <s v="THIAGO"/>
    <n v="980"/>
    <x v="9"/>
    <d v="2025-12-17T00:00:00"/>
    <x v="3"/>
  </r>
  <r>
    <s v="TRAFEGO"/>
    <n v="480"/>
    <x v="9"/>
    <d v="2025-12-17T00:00:00"/>
    <x v="4"/>
  </r>
  <r>
    <s v="ANDRE"/>
    <n v="1040"/>
    <x v="9"/>
    <d v="2025-12-17T00:00:00"/>
    <x v="3"/>
  </r>
  <r>
    <s v="MELHOR IMAGEM"/>
    <n v="70"/>
    <x v="9"/>
    <d v="2025-12-18T00:00:00"/>
    <x v="7"/>
  </r>
  <r>
    <s v="KENIO"/>
    <n v="1000"/>
    <x v="9"/>
    <d v="2025-12-18T00:00:00"/>
    <x v="3"/>
  </r>
  <r>
    <s v="ALINE"/>
    <n v="245"/>
    <x v="9"/>
    <d v="2025-12-18T00:00:00"/>
    <x v="3"/>
  </r>
  <r>
    <s v="VASCULAR"/>
    <n v="630"/>
    <x v="9"/>
    <d v="2025-12-18T00:00:00"/>
    <x v="3"/>
  </r>
  <r>
    <s v="IMPOSTO"/>
    <n v="650"/>
    <x v="9"/>
    <d v="2025-12-19T00:00:00"/>
    <x v="16"/>
  </r>
  <r>
    <s v="MKT LOTERICA"/>
    <n v="100"/>
    <x v="9"/>
    <d v="2025-12-19T00:00:00"/>
    <x v="4"/>
  </r>
  <r>
    <s v="ESTORNO"/>
    <n v="65"/>
    <x v="9"/>
    <d v="2025-12-19T00:00:00"/>
    <x v="9"/>
  </r>
  <r>
    <s v="MISAEL"/>
    <n v="2622"/>
    <x v="9"/>
    <d v="2025-12-19T00:00:00"/>
    <x v="3"/>
  </r>
  <r>
    <s v="PREV"/>
    <n v="3110"/>
    <x v="9"/>
    <d v="2025-12-19T00:00:00"/>
    <x v="7"/>
  </r>
  <r>
    <s v="ESTORNO"/>
    <n v="350"/>
    <x v="9"/>
    <d v="2025-12-19T00:00:00"/>
    <x v="9"/>
  </r>
  <r>
    <s v="ARTHUR"/>
    <n v="150"/>
    <x v="9"/>
    <d v="2025-12-19T00:00:00"/>
    <x v="3"/>
  </r>
  <r>
    <s v="TOP"/>
    <n v="40"/>
    <x v="9"/>
    <d v="2025-12-19T00:00:00"/>
    <x v="7"/>
  </r>
  <r>
    <s v="BRUNA"/>
    <n v="170"/>
    <x v="9"/>
    <d v="2025-12-21T00:00:00"/>
    <x v="15"/>
  </r>
  <r>
    <s v="BRENA"/>
    <n v="515"/>
    <x v="9"/>
    <d v="2025-12-21T00:00:00"/>
    <x v="3"/>
  </r>
  <r>
    <s v="DANIELA"/>
    <n v="450"/>
    <x v="9"/>
    <d v="2025-12-21T00:00:00"/>
    <x v="3"/>
  </r>
  <r>
    <s v="MISAEL"/>
    <n v="190"/>
    <x v="9"/>
    <d v="2025-12-22T00:00:00"/>
    <x v="3"/>
  </r>
  <r>
    <s v="TACIANA"/>
    <n v="1075"/>
    <x v="9"/>
    <d v="2025-12-22T00:00:00"/>
    <x v="3"/>
  </r>
  <r>
    <s v="MAYARA"/>
    <n v="362"/>
    <x v="9"/>
    <d v="2025-12-22T00:00:00"/>
    <x v="30"/>
  </r>
  <r>
    <s v="IONE"/>
    <n v="406"/>
    <x v="9"/>
    <d v="2025-12-22T00:00:00"/>
    <x v="30"/>
  </r>
  <r>
    <s v="ALINE"/>
    <n v="230"/>
    <x v="9"/>
    <d v="2025-12-22T00:00:00"/>
    <x v="3"/>
  </r>
  <r>
    <s v="IMPOSTO"/>
    <n v="181"/>
    <x v="9"/>
    <d v="2025-12-22T00:00:00"/>
    <x v="16"/>
  </r>
  <r>
    <s v="FERNANDO"/>
    <n v="100"/>
    <x v="9"/>
    <d v="2025-12-23T00:00:00"/>
    <x v="7"/>
  </r>
  <r>
    <s v="SODRE"/>
    <n v="395"/>
    <x v="9"/>
    <d v="2025-12-23T00:00:00"/>
    <x v="7"/>
  </r>
  <r>
    <s v="MAYARA"/>
    <n v="165"/>
    <x v="9"/>
    <d v="2025-12-23T00:00:00"/>
    <x v="30"/>
  </r>
  <r>
    <s v="RAYANNE"/>
    <n v="1980"/>
    <x v="9"/>
    <d v="2025-12-23T00:00:00"/>
    <x v="3"/>
  </r>
  <r>
    <s v="TOP"/>
    <n v="80"/>
    <x v="9"/>
    <d v="2025-12-23T00:00:00"/>
    <x v="7"/>
  </r>
  <r>
    <s v="ANDRE"/>
    <n v="650"/>
    <x v="9"/>
    <d v="2025-12-23T00:00:00"/>
    <x v="3"/>
  </r>
  <r>
    <s v="INTERNET"/>
    <n v="170"/>
    <x v="9"/>
    <d v="2025-12-23T00:00:00"/>
    <x v="13"/>
  </r>
  <r>
    <s v="CONFRA"/>
    <n v="1700"/>
    <x v="9"/>
    <d v="2025-12-26T00:00:00"/>
    <x v="4"/>
  </r>
  <r>
    <s v="MARCELO"/>
    <n v="1500"/>
    <x v="9"/>
    <d v="2025-12-26T00:00:00"/>
    <x v="6"/>
  </r>
  <r>
    <s v="CARTAO"/>
    <n v="2085"/>
    <x v="9"/>
    <d v="2025-12-29T00:00:00"/>
    <x v="1"/>
  </r>
  <r>
    <s v="BIA"/>
    <n v="540"/>
    <x v="9"/>
    <d v="2025-12-29T00:00:00"/>
    <x v="30"/>
  </r>
  <r>
    <s v="MATERIAL GRAFICO"/>
    <n v="1350"/>
    <x v="9"/>
    <d v="2025-12-29T00:00:00"/>
    <x v="1"/>
  </r>
  <r>
    <s v="SODRE"/>
    <n v="77"/>
    <x v="9"/>
    <d v="2025-12-30T00:00:00"/>
    <x v="7"/>
  </r>
  <r>
    <s v="VT"/>
    <n v="460"/>
    <x v="9"/>
    <d v="2025-12-30T00:00:00"/>
    <x v="30"/>
  </r>
  <r>
    <s v="CAFÉ E BOLACHA"/>
    <n v="50"/>
    <x v="10"/>
    <d v="2026-01-02T00:00:00"/>
    <x v="1"/>
  </r>
  <r>
    <s v="BRUNA"/>
    <n v="170"/>
    <x v="10"/>
    <d v="2026-01-02T00:00:00"/>
    <x v="15"/>
  </r>
  <r>
    <s v="MATERIAL GRAFICO"/>
    <n v="500"/>
    <x v="10"/>
    <d v="2026-01-02T00:00:00"/>
    <x v="1"/>
  </r>
  <r>
    <s v="VT VITORIA"/>
    <n v="225"/>
    <x v="10"/>
    <d v="2026-01-02T00:00:00"/>
    <x v="30"/>
  </r>
  <r>
    <s v="BULTRINIS"/>
    <n v="70"/>
    <x v="10"/>
    <d v="2026-01-02T00:00:00"/>
    <x v="4"/>
  </r>
  <r>
    <s v="MISAEL"/>
    <n v="2665"/>
    <x v="10"/>
    <d v="2026-01-02T00:00:00"/>
    <x v="3"/>
  </r>
  <r>
    <s v="SEGURO LOJA"/>
    <n v="650"/>
    <x v="10"/>
    <d v="2026-01-05T00:00:00"/>
    <x v="32"/>
  </r>
  <r>
    <s v="JUROS"/>
    <n v="2315"/>
    <x v="10"/>
    <d v="2026-01-05T00:00:00"/>
    <x v="20"/>
  </r>
  <r>
    <s v="SODRE"/>
    <n v="475"/>
    <x v="10"/>
    <d v="2026-01-05T00:00:00"/>
    <x v="7"/>
  </r>
  <r>
    <s v="GRAFICA"/>
    <n v="20"/>
    <x v="10"/>
    <d v="2026-01-05T00:00:00"/>
    <x v="1"/>
  </r>
  <r>
    <s v="RAIHANA"/>
    <n v="100"/>
    <x v="10"/>
    <d v="2026-01-05T00:00:00"/>
    <x v="3"/>
  </r>
  <r>
    <s v="TRAFEGO"/>
    <n v="1535"/>
    <x v="10"/>
    <d v="2026-01-05T00:00:00"/>
    <x v="4"/>
  </r>
  <r>
    <s v="RODRIGO"/>
    <n v="1000"/>
    <x v="10"/>
    <d v="2026-01-05T00:00:00"/>
    <x v="30"/>
  </r>
  <r>
    <s v="CONTADOR"/>
    <n v="450"/>
    <x v="10"/>
    <d v="2026-01-05T00:00:00"/>
    <x v="12"/>
  </r>
  <r>
    <s v="SITE"/>
    <n v="35"/>
    <x v="10"/>
    <d v="2026-01-05T00:00:00"/>
    <x v="4"/>
  </r>
  <r>
    <s v="VR MAYARA"/>
    <n v="430.5"/>
    <x v="10"/>
    <d v="2026-01-05T00:00:00"/>
    <x v="30"/>
  </r>
  <r>
    <s v="ULTRAMEGA"/>
    <n v="1075"/>
    <x v="10"/>
    <d v="2026-01-06T00:00:00"/>
    <x v="1"/>
  </r>
  <r>
    <s v="ULTRAMEGA"/>
    <n v="1073.04"/>
    <x v="10"/>
    <d v="2026-01-06T00:00:00"/>
    <x v="1"/>
  </r>
  <r>
    <s v="ODON"/>
    <n v="390"/>
    <x v="10"/>
    <d v="2026-01-06T00:00:00"/>
    <x v="3"/>
  </r>
  <r>
    <s v="RAYANNE"/>
    <n v="865"/>
    <x v="10"/>
    <d v="2026-01-06T00:00:00"/>
    <x v="3"/>
  </r>
  <r>
    <s v="AGUA"/>
    <n v="20"/>
    <x v="10"/>
    <d v="2026-01-06T00:00:00"/>
    <x v="1"/>
  </r>
  <r>
    <s v="COCA"/>
    <n v="5"/>
    <x v="10"/>
    <d v="2026-01-06T00:00:00"/>
    <x v="6"/>
  </r>
  <r>
    <s v="ARTHUR"/>
    <n v="300"/>
    <x v="10"/>
    <d v="2026-01-06T00:00:00"/>
    <x v="3"/>
  </r>
  <r>
    <s v="DANIELA"/>
    <n v="450"/>
    <x v="10"/>
    <d v="2026-01-07T00:00:00"/>
    <x v="3"/>
  </r>
  <r>
    <s v="LETICIA"/>
    <n v="810"/>
    <x v="10"/>
    <d v="2026-01-07T00:00:00"/>
    <x v="3"/>
  </r>
  <r>
    <s v="TACIANA"/>
    <n v="890"/>
    <x v="10"/>
    <d v="2026-01-07T00:00:00"/>
    <x v="3"/>
  </r>
  <r>
    <s v="TRAFEGO"/>
    <n v="210"/>
    <x v="10"/>
    <d v="2026-01-07T00:00:00"/>
    <x v="4"/>
  </r>
  <r>
    <s v="TRAFEGO"/>
    <n v="325"/>
    <x v="10"/>
    <d v="2026-01-07T00:00:00"/>
    <x v="4"/>
  </r>
  <r>
    <s v="ESTORNO"/>
    <n v="545"/>
    <x v="10"/>
    <d v="2026-01-07T00:00:00"/>
    <x v="9"/>
  </r>
  <r>
    <s v="ADVOGADO"/>
    <n v="500"/>
    <x v="10"/>
    <d v="2026-01-07T00:00:00"/>
    <x v="6"/>
  </r>
  <r>
    <s v="CARTAO"/>
    <n v="800"/>
    <x v="10"/>
    <d v="2026-01-07T00:00:00"/>
    <x v="1"/>
  </r>
  <r>
    <s v="TOP"/>
    <n v="160"/>
    <x v="10"/>
    <d v="2026-01-07T00:00:00"/>
    <x v="7"/>
  </r>
  <r>
    <s v="TOP"/>
    <n v="40"/>
    <x v="10"/>
    <d v="2026-01-07T00:00:00"/>
    <x v="7"/>
  </r>
  <r>
    <s v="ANDRE"/>
    <n v="780"/>
    <x v="10"/>
    <d v="2026-01-07T00:00:00"/>
    <x v="3"/>
  </r>
  <r>
    <s v="VITORIA"/>
    <n v="800"/>
    <x v="10"/>
    <d v="2026-01-08T00:00:00"/>
    <x v="30"/>
  </r>
  <r>
    <s v="IONE"/>
    <n v="2085"/>
    <x v="10"/>
    <d v="2026-01-08T00:00:00"/>
    <x v="30"/>
  </r>
  <r>
    <s v="ANA"/>
    <n v="4000"/>
    <x v="10"/>
    <d v="2026-01-08T00:00:00"/>
    <x v="30"/>
  </r>
  <r>
    <s v="PATRICIA"/>
    <n v="2000"/>
    <x v="10"/>
    <d v="2026-01-08T00:00:00"/>
    <x v="30"/>
  </r>
  <r>
    <s v="MAYARA"/>
    <n v="2355"/>
    <x v="10"/>
    <d v="2026-01-08T00:00:00"/>
    <x v="30"/>
  </r>
  <r>
    <s v="ALUGUEL"/>
    <n v="5000"/>
    <x v="10"/>
    <d v="2026-01-08T00:00:00"/>
    <x v="11"/>
  </r>
  <r>
    <s v="CONTADOR"/>
    <n v="600"/>
    <x v="10"/>
    <d v="2026-01-09T00:00:00"/>
    <x v="12"/>
  </r>
  <r>
    <s v="KENIO"/>
    <n v="755"/>
    <x v="10"/>
    <d v="2026-01-09T00:00:00"/>
    <x v="3"/>
  </r>
  <r>
    <s v="AGUA"/>
    <n v="85"/>
    <x v="10"/>
    <d v="2026-01-09T00:00:00"/>
    <x v="21"/>
  </r>
  <r>
    <s v="INSUMOS"/>
    <n v="139"/>
    <x v="10"/>
    <d v="2026-01-09T00:00:00"/>
    <x v="1"/>
  </r>
  <r>
    <s v="INSUMOS"/>
    <n v="290"/>
    <x v="10"/>
    <d v="2026-01-09T00:00:00"/>
    <x v="1"/>
  </r>
  <r>
    <s v="CHIP"/>
    <n v="15"/>
    <x v="10"/>
    <d v="2026-01-09T00:00:00"/>
    <x v="6"/>
  </r>
  <r>
    <s v="RODRIGO"/>
    <n v="100"/>
    <x v="10"/>
    <d v="2026-01-09T00:00:00"/>
    <x v="30"/>
  </r>
  <r>
    <s v="RAYANNE"/>
    <n v="1645"/>
    <x v="10"/>
    <d v="2026-01-09T00:00:00"/>
    <x v="3"/>
  </r>
  <r>
    <s v="MISAEL"/>
    <n v="1460"/>
    <x v="10"/>
    <d v="2026-01-10T00:00:00"/>
    <x v="3"/>
  </r>
  <r>
    <s v="GRAFICA"/>
    <n v="150"/>
    <x v="10"/>
    <d v="2026-01-10T00:00:00"/>
    <x v="4"/>
  </r>
  <r>
    <s v="INSUMOS"/>
    <n v="50"/>
    <x v="10"/>
    <d v="2026-01-10T00:00:00"/>
    <x v="1"/>
  </r>
  <r>
    <s v="BRENA"/>
    <n v="680"/>
    <x v="10"/>
    <d v="2026-01-10T00:00:00"/>
    <x v="3"/>
  </r>
  <r>
    <s v="BRUNA"/>
    <n v="170"/>
    <x v="10"/>
    <d v="2026-01-10T00:00:00"/>
    <x v="15"/>
  </r>
  <r>
    <s v="PANO"/>
    <n v="40"/>
    <x v="10"/>
    <d v="2026-01-10T00:00:00"/>
    <x v="1"/>
  </r>
  <r>
    <s v="MISAEL"/>
    <n v="200"/>
    <x v="10"/>
    <d v="2026-01-12T00:00:00"/>
    <x v="3"/>
  </r>
  <r>
    <s v="TACIANA"/>
    <n v="1230"/>
    <x v="10"/>
    <d v="2026-01-12T00:00:00"/>
    <x v="3"/>
  </r>
  <r>
    <s v="GASTROCENTER"/>
    <n v="280"/>
    <x v="10"/>
    <d v="2026-01-12T00:00:00"/>
    <x v="7"/>
  </r>
  <r>
    <s v="RODRIO TAVARES"/>
    <n v="3500"/>
    <x v="10"/>
    <d v="2026-01-12T00:00:00"/>
    <x v="10"/>
  </r>
  <r>
    <s v="INTERNET"/>
    <n v="170"/>
    <x v="10"/>
    <d v="2026-01-12T00:00:00"/>
    <x v="13"/>
  </r>
  <r>
    <s v="AGUA"/>
    <n v="20"/>
    <x v="10"/>
    <d v="2026-01-12T00:00:00"/>
    <x v="1"/>
  </r>
  <r>
    <s v="TRAFEGO"/>
    <n v="750"/>
    <x v="10"/>
    <d v="2026-01-12T00:00:00"/>
    <x v="4"/>
  </r>
  <r>
    <s v="LIMPEZA CX DAGUA"/>
    <n v="150"/>
    <x v="10"/>
    <d v="2026-01-12T00:00:00"/>
    <x v="6"/>
  </r>
  <r>
    <s v="TOP"/>
    <n v="430"/>
    <x v="10"/>
    <d v="2026-01-12T00:00:00"/>
    <x v="7"/>
  </r>
  <r>
    <s v="RAYANNE"/>
    <n v="1050"/>
    <x v="10"/>
    <d v="2026-01-12T00:00:00"/>
    <x v="3"/>
  </r>
  <r>
    <s v="ESTORNO"/>
    <n v="195"/>
    <x v="10"/>
    <d v="2026-01-12T00:00:00"/>
    <x v="9"/>
  </r>
  <r>
    <s v="RAISSA"/>
    <n v="910"/>
    <x v="10"/>
    <d v="2026-01-12T00:00:00"/>
    <x v="3"/>
  </r>
  <r>
    <s v="LETICIA"/>
    <n v="560"/>
    <x v="10"/>
    <d v="2026-01-12T00:00:00"/>
    <x v="3"/>
  </r>
  <r>
    <s v="TRAFEGO"/>
    <n v="210"/>
    <x v="10"/>
    <d v="2026-01-12T00:00:00"/>
    <x v="4"/>
  </r>
  <r>
    <s v="PANFLETO"/>
    <n v="291"/>
    <x v="10"/>
    <d v="2026-01-12T00:00:00"/>
    <x v="4"/>
  </r>
  <r>
    <s v="MISAEL"/>
    <n v="660"/>
    <x v="10"/>
    <d v="2026-01-13T00:00:00"/>
    <x v="3"/>
  </r>
  <r>
    <s v="FAST IA"/>
    <n v="1500"/>
    <x v="10"/>
    <d v="2026-01-13T00:00:00"/>
    <x v="17"/>
  </r>
  <r>
    <s v="ANDRE"/>
    <n v="1430"/>
    <x v="10"/>
    <d v="2026-01-13T00:00:00"/>
    <x v="3"/>
  </r>
  <r>
    <s v="FERNANDO"/>
    <n v="200"/>
    <x v="10"/>
    <d v="2026-01-13T00:00:00"/>
    <x v="7"/>
  </r>
  <r>
    <s v="TOP"/>
    <n v="160"/>
    <x v="10"/>
    <d v="2026-01-13T00:00:00"/>
    <x v="7"/>
  </r>
  <r>
    <s v="HOLTER"/>
    <n v="490"/>
    <x v="10"/>
    <d v="2026-01-15T00:00:00"/>
    <x v="7"/>
  </r>
  <r>
    <s v="GASTROCENTER"/>
    <n v="280"/>
    <x v="10"/>
    <d v="2026-01-15T00:00:00"/>
    <x v="7"/>
  </r>
  <r>
    <s v="GASTROCENTER"/>
    <n v="280"/>
    <x v="10"/>
    <d v="2026-01-15T00:00:00"/>
    <x v="7"/>
  </r>
  <r>
    <s v="TOP"/>
    <n v="80"/>
    <x v="10"/>
    <d v="2026-01-15T00:00:00"/>
    <x v="7"/>
  </r>
  <r>
    <s v="VASCULAR"/>
    <n v="1080"/>
    <x v="10"/>
    <d v="2026-01-15T00:00:00"/>
    <x v="3"/>
  </r>
  <r>
    <s v="VIGILANTE"/>
    <n v="200"/>
    <x v="10"/>
    <d v="2026-01-15T00:00:00"/>
    <x v="32"/>
  </r>
  <r>
    <s v="RODRIGO"/>
    <n v="1620"/>
    <x v="10"/>
    <d v="2026-01-15T00:00:00"/>
    <x v="30"/>
  </r>
  <r>
    <s v="BRASCON"/>
    <n v="255"/>
    <x v="10"/>
    <d v="2025-01-16T00:00:00"/>
    <x v="6"/>
  </r>
  <r>
    <s v="THIAGO"/>
    <n v="580"/>
    <x v="10"/>
    <d v="2025-01-16T00:00:00"/>
    <x v="3"/>
  </r>
  <r>
    <s v="TRAFEGO"/>
    <n v="855"/>
    <x v="10"/>
    <d v="2025-01-16T00:00:00"/>
    <x v="4"/>
  </r>
  <r>
    <s v="RAYANNE"/>
    <n v="925"/>
    <x v="10"/>
    <d v="2025-01-16T00:00:00"/>
    <x v="3"/>
  </r>
  <r>
    <s v="KENIO"/>
    <n v="915"/>
    <x v="10"/>
    <d v="2025-01-16T00:00:00"/>
    <x v="3"/>
  </r>
  <r>
    <s v="ESTORNO"/>
    <n v="175"/>
    <x v="10"/>
    <d v="2025-01-16T00:00:00"/>
    <x v="9"/>
  </r>
  <r>
    <s v="BRENA"/>
    <n v="595"/>
    <x v="10"/>
    <d v="2025-01-16T00:00:00"/>
    <x v="3"/>
  </r>
  <r>
    <s v="BRUNA"/>
    <n v="170"/>
    <x v="10"/>
    <d v="2025-01-16T00:00:00"/>
    <x v="15"/>
  </r>
  <r>
    <s v="VERISURE"/>
    <n v="270"/>
    <x v="10"/>
    <d v="2025-01-16T00:00:00"/>
    <x v="32"/>
  </r>
  <r>
    <s v="AGUA"/>
    <n v="175"/>
    <x v="10"/>
    <d v="2025-01-16T00:00:00"/>
    <x v="4"/>
  </r>
  <r>
    <s v="CARD"/>
    <n v="150"/>
    <x v="10"/>
    <d v="2025-01-16T00:00:00"/>
    <x v="4"/>
  </r>
  <r>
    <s v="ALVARO"/>
    <n v="7765"/>
    <x v="10"/>
    <d v="2025-01-16T00:00:00"/>
    <x v="5"/>
  </r>
  <r>
    <s v="GK"/>
    <n v="1130"/>
    <x v="10"/>
    <d v="2025-01-16T00:00:00"/>
    <x v="7"/>
  </r>
  <r>
    <s v="FITA"/>
    <n v="15"/>
    <x v="10"/>
    <d v="2025-01-16T00:00:00"/>
    <x v="4"/>
  </r>
  <r>
    <s v="GRAFICA CARD"/>
    <n v="70"/>
    <x v="10"/>
    <d v="2025-01-16T00:00:00"/>
    <x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F19114E-7669-488A-A52B-62678EDCFA63}" name="Tabela dinâmica1" cacheId="60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 chartFormat="7">
  <location ref="C4:D22" firstHeaderRow="1" firstDataRow="1" firstDataCol="1"/>
  <pivotFields count="5">
    <pivotField showAll="0"/>
    <pivotField dataField="1" numFmtId="44" showAll="0"/>
    <pivotField showAll="0">
      <items count="13">
        <item x="10"/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m="1" x="11"/>
        <item t="default"/>
      </items>
    </pivotField>
    <pivotField numFmtId="14" showAll="0"/>
    <pivotField axis="axisRow" showAll="0">
      <items count="39">
        <item x="0"/>
        <item x="1"/>
        <item x="5"/>
        <item x="4"/>
        <item x="3"/>
        <item x="6"/>
        <item x="2"/>
        <item x="7"/>
        <item m="1" x="36"/>
        <item m="1" x="3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m="1" x="35"/>
        <item x="24"/>
        <item x="25"/>
        <item x="26"/>
        <item x="27"/>
        <item x="28"/>
        <item m="1" x="34"/>
        <item x="30"/>
        <item x="31"/>
        <item x="29"/>
        <item x="32"/>
        <item x="33"/>
        <item t="default"/>
      </items>
    </pivotField>
  </pivotFields>
  <rowFields count="1">
    <field x="4"/>
  </rowFields>
  <rowItems count="18">
    <i>
      <x v="1"/>
    </i>
    <i>
      <x v="2"/>
    </i>
    <i>
      <x v="3"/>
    </i>
    <i>
      <x v="4"/>
    </i>
    <i>
      <x v="5"/>
    </i>
    <i>
      <x v="7"/>
    </i>
    <i>
      <x v="11"/>
    </i>
    <i>
      <x v="12"/>
    </i>
    <i>
      <x v="13"/>
    </i>
    <i>
      <x v="14"/>
    </i>
    <i>
      <x v="15"/>
    </i>
    <i>
      <x v="17"/>
    </i>
    <i>
      <x v="19"/>
    </i>
    <i>
      <x v="22"/>
    </i>
    <i>
      <x v="23"/>
    </i>
    <i>
      <x v="33"/>
    </i>
    <i>
      <x v="36"/>
    </i>
    <i t="grand">
      <x/>
    </i>
  </rowItems>
  <colItems count="1">
    <i/>
  </colItems>
  <dataFields count="1">
    <dataField name="Soma de VALOR" fld="1" baseField="0" baseItem="0" numFmtId="44"/>
  </dataFields>
  <chartFormats count="1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28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Mês" xr10:uid="{4341EDAC-F960-4E43-A1D4-F65A74ABAF63}" sourceName="Mês">
  <pivotTables>
    <pivotTable tabId="10" name="Tabela dinâmica1"/>
  </pivotTables>
  <data>
    <tabular pivotCacheId="656665042" showMissing="0">
      <items count="12">
        <i x="10" s="1"/>
        <i x="0"/>
        <i x="1"/>
        <i x="2"/>
        <i x="3"/>
        <i x="4"/>
        <i x="5"/>
        <i x="6"/>
        <i x="7"/>
        <i x="8"/>
        <i x="9"/>
        <i x="11" nd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Mês" xr10:uid="{1DE7A33C-8E39-4F11-81EC-DD9B6DA66336}" cache="SegmentaçãodeDados_Mês" caption="Mês" style="SlicerStyleLight6" rowHeight="24765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0F8ABD5-6FC9-41B4-8A65-8DD943D3D3FA}" name="Tabela1" displayName="Tabela1" ref="G3:K1688" totalsRowShown="0" headerRowDxfId="13" headerRowBorderDxfId="12" tableBorderDxfId="11" headerRowCellStyle="Cálculo">
  <autoFilter ref="G3:K1688" xr:uid="{90F8ABD5-6FC9-41B4-8A65-8DD943D3D3FA}"/>
  <sortState xmlns:xlrd2="http://schemas.microsoft.com/office/spreadsheetml/2017/richdata2" ref="G4:K1614">
    <sortCondition ref="J3:J1614"/>
  </sortState>
  <tableColumns count="5">
    <tableColumn id="1" xr3:uid="{1E981BBB-B4C0-459F-BC62-BC8CD8E0824B}" name="PAGAMENTOS"/>
    <tableColumn id="2" xr3:uid="{70D54C71-23A9-4B0F-A2B2-51E57CEA377F}" name="VALOR" dataDxfId="10" dataCellStyle="Moeda"/>
    <tableColumn id="6" xr3:uid="{4E9060C3-FA0C-4030-82FB-8CADB3A026A2}" name="Mês" dataDxfId="9" dataCellStyle="Moeda"/>
    <tableColumn id="3" xr3:uid="{A7D75FE4-2AA6-46C8-96C2-D4C5B3ADB428}" name="DATA" dataDxfId="8"/>
    <tableColumn id="5" xr3:uid="{86CB9A89-7090-453D-9392-5D3806CF07FC}" name="Categoria"/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4D549E39-2279-48A5-9AF9-3B56196A60BB}" name="Tabela6" displayName="Tabela6" ref="A3:D13" totalsRowShown="0" headerRowDxfId="7" dataDxfId="5" headerRowBorderDxfId="6" tableBorderDxfId="4" headerRowCellStyle="Cálculo" dataCellStyle="Moeda">
  <autoFilter ref="A3:D13" xr:uid="{4D549E39-2279-48A5-9AF9-3B56196A60BB}"/>
  <tableColumns count="4">
    <tableColumn id="1" xr3:uid="{20120858-9A2A-4E12-A40C-8E0553D18E32}" name="FATURAMENTO" dataDxfId="3" dataCellStyle="Moeda"/>
    <tableColumn id="2" xr3:uid="{8DFD2B86-AE0C-4E66-A1A0-FEAE4C0F6F76}" name="Mês" dataDxfId="2" dataCellStyle="Moeda"/>
    <tableColumn id="3" xr3:uid="{BF688055-42A5-4A02-9124-E79F95A3214F}" name="Dias úteis" dataDxfId="1" dataCellStyle="Moeda"/>
    <tableColumn id="4" xr3:uid="{7118DB11-8964-4D4A-A228-37C4F3042956}" name="FAT/dia" dataDxfId="0" dataCellStyle="Moeda">
      <calculatedColumnFormula>Tabela6[[#This Row],[FATURAMENTO]]/Tabela6[[#This Row],[Dias úteis]]</calculatedColumnFormula>
    </tableColumn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D629E6-5610-4001-9982-43BFBDA04C25}">
  <sheetPr>
    <tabColor theme="9" tint="-0.249977111117893"/>
  </sheetPr>
  <dimension ref="C1:R22"/>
  <sheetViews>
    <sheetView workbookViewId="0">
      <selection activeCell="D22" sqref="D22"/>
    </sheetView>
  </sheetViews>
  <sheetFormatPr defaultRowHeight="14.4" x14ac:dyDescent="0.3"/>
  <cols>
    <col min="3" max="3" width="23" customWidth="1"/>
    <col min="4" max="4" width="14.21875" bestFit="1" customWidth="1"/>
  </cols>
  <sheetData>
    <row r="1" spans="3:15" ht="14.4" customHeight="1" x14ac:dyDescent="0.3">
      <c r="C1" s="27" t="s">
        <v>99</v>
      </c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</row>
    <row r="2" spans="3:15" ht="14.4" customHeight="1" x14ac:dyDescent="0.3"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</row>
    <row r="3" spans="3:15" ht="21" x14ac:dyDescent="0.4">
      <c r="C3" s="17" t="s">
        <v>105</v>
      </c>
      <c r="D3" s="18" t="s">
        <v>106</v>
      </c>
    </row>
    <row r="4" spans="3:15" hidden="1" x14ac:dyDescent="0.3">
      <c r="C4" s="14" t="s">
        <v>87</v>
      </c>
      <c r="D4" t="s">
        <v>98</v>
      </c>
    </row>
    <row r="5" spans="3:15" x14ac:dyDescent="0.3">
      <c r="C5" s="15" t="s">
        <v>96</v>
      </c>
      <c r="D5" s="9">
        <v>4077.04</v>
      </c>
    </row>
    <row r="6" spans="3:15" x14ac:dyDescent="0.3">
      <c r="C6" s="15" t="s">
        <v>94</v>
      </c>
      <c r="D6" s="9">
        <v>7765</v>
      </c>
    </row>
    <row r="7" spans="3:15" x14ac:dyDescent="0.3">
      <c r="C7" s="15" t="s">
        <v>97</v>
      </c>
      <c r="D7" s="9">
        <v>4841</v>
      </c>
    </row>
    <row r="8" spans="3:15" x14ac:dyDescent="0.3">
      <c r="C8" s="15" t="s">
        <v>90</v>
      </c>
      <c r="D8" s="9">
        <v>21925</v>
      </c>
    </row>
    <row r="9" spans="3:15" x14ac:dyDescent="0.3">
      <c r="C9" s="15" t="s">
        <v>92</v>
      </c>
      <c r="D9" s="9">
        <v>925</v>
      </c>
    </row>
    <row r="10" spans="3:15" x14ac:dyDescent="0.3">
      <c r="C10" s="15" t="s">
        <v>95</v>
      </c>
      <c r="D10" s="9">
        <v>4005</v>
      </c>
    </row>
    <row r="11" spans="3:15" x14ac:dyDescent="0.3">
      <c r="C11" s="15" t="s">
        <v>210</v>
      </c>
      <c r="D11" s="9">
        <v>915</v>
      </c>
    </row>
    <row r="12" spans="3:15" x14ac:dyDescent="0.3">
      <c r="C12" s="15" t="s">
        <v>211</v>
      </c>
      <c r="D12" s="9">
        <v>3500</v>
      </c>
    </row>
    <row r="13" spans="3:15" x14ac:dyDescent="0.3">
      <c r="C13" s="15" t="s">
        <v>212</v>
      </c>
      <c r="D13" s="9">
        <v>5000</v>
      </c>
    </row>
    <row r="14" spans="3:15" x14ac:dyDescent="0.3">
      <c r="C14" s="15" t="s">
        <v>161</v>
      </c>
      <c r="D14" s="9">
        <v>1050</v>
      </c>
    </row>
    <row r="15" spans="3:15" x14ac:dyDescent="0.3">
      <c r="C15" s="15" t="s">
        <v>170</v>
      </c>
      <c r="D15" s="9">
        <v>170</v>
      </c>
    </row>
    <row r="16" spans="3:15" x14ac:dyDescent="0.3">
      <c r="C16" s="15" t="s">
        <v>205</v>
      </c>
      <c r="D16" s="9">
        <v>510</v>
      </c>
    </row>
    <row r="17" spans="3:18" x14ac:dyDescent="0.3">
      <c r="C17" s="15" t="s">
        <v>61</v>
      </c>
      <c r="D17" s="9">
        <v>1500</v>
      </c>
    </row>
    <row r="18" spans="3:18" x14ac:dyDescent="0.3">
      <c r="C18" s="15" t="s">
        <v>2</v>
      </c>
      <c r="D18" s="9">
        <v>2315</v>
      </c>
      <c r="R18" t="s">
        <v>330</v>
      </c>
    </row>
    <row r="19" spans="3:18" x14ac:dyDescent="0.3">
      <c r="C19" s="15" t="s">
        <v>162</v>
      </c>
      <c r="D19" s="9">
        <v>85</v>
      </c>
    </row>
    <row r="20" spans="3:18" x14ac:dyDescent="0.3">
      <c r="C20" s="15" t="s">
        <v>466</v>
      </c>
      <c r="D20" s="9">
        <v>14615.5</v>
      </c>
    </row>
    <row r="21" spans="3:18" x14ac:dyDescent="0.3">
      <c r="C21" s="15" t="s">
        <v>26</v>
      </c>
      <c r="D21" s="9">
        <v>1120</v>
      </c>
    </row>
    <row r="22" spans="3:18" x14ac:dyDescent="0.3">
      <c r="C22" s="15" t="s">
        <v>88</v>
      </c>
      <c r="D22" s="9">
        <v>74318.540000000008</v>
      </c>
    </row>
  </sheetData>
  <mergeCells count="1">
    <mergeCell ref="C1:O2"/>
  </mergeCells>
  <pageMargins left="0.511811024" right="0.511811024" top="0.78740157499999996" bottom="0.78740157499999996" header="0.31496062000000002" footer="0.31496062000000002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DF210A-5B0E-48FD-B876-399DED261C08}">
  <sheetPr>
    <tabColor rgb="FFFFC000"/>
  </sheetPr>
  <dimension ref="A3:K1048572"/>
  <sheetViews>
    <sheetView tabSelected="1" zoomScale="107" zoomScaleNormal="107" workbookViewId="0">
      <selection activeCell="A14" sqref="A14"/>
    </sheetView>
  </sheetViews>
  <sheetFormatPr defaultRowHeight="14.4" x14ac:dyDescent="0.3"/>
  <cols>
    <col min="1" max="1" width="18" bestFit="1" customWidth="1"/>
    <col min="2" max="2" width="10.6640625" bestFit="1" customWidth="1"/>
    <col min="3" max="3" width="13.5546875" customWidth="1"/>
    <col min="4" max="4" width="12" bestFit="1" customWidth="1"/>
    <col min="5" max="5" width="13.5546875" customWidth="1"/>
    <col min="7" max="7" width="23.5546875" bestFit="1" customWidth="1"/>
    <col min="8" max="8" width="12.88671875" bestFit="1" customWidth="1"/>
    <col min="9" max="9" width="12.109375" style="11" bestFit="1" customWidth="1"/>
    <col min="10" max="10" width="10.33203125" bestFit="1" customWidth="1"/>
    <col min="11" max="11" width="13.44140625" bestFit="1" customWidth="1"/>
    <col min="12" max="12" width="16.77734375" bestFit="1" customWidth="1"/>
    <col min="13" max="13" width="14.21875" bestFit="1" customWidth="1"/>
  </cols>
  <sheetData>
    <row r="3" spans="1:11" x14ac:dyDescent="0.3">
      <c r="A3" s="12" t="s">
        <v>64</v>
      </c>
      <c r="B3" s="12" t="s">
        <v>100</v>
      </c>
      <c r="C3" s="12" t="s">
        <v>102</v>
      </c>
      <c r="D3" s="12" t="s">
        <v>103</v>
      </c>
      <c r="G3" s="12" t="s">
        <v>62</v>
      </c>
      <c r="H3" s="12" t="s">
        <v>5</v>
      </c>
      <c r="I3" s="12" t="s">
        <v>100</v>
      </c>
      <c r="J3" s="13" t="s">
        <v>63</v>
      </c>
      <c r="K3" s="12" t="s">
        <v>89</v>
      </c>
    </row>
    <row r="4" spans="1:11" x14ac:dyDescent="0.3">
      <c r="A4" s="1">
        <v>8208.4500000000007</v>
      </c>
      <c r="B4" s="1" t="s">
        <v>101</v>
      </c>
      <c r="C4" s="16">
        <v>14</v>
      </c>
      <c r="D4" s="19">
        <f>Tabela6[[#This Row],[FATURAMENTO]]/Tabela6[[#This Row],[Dias úteis]]</f>
        <v>586.31785714285718</v>
      </c>
      <c r="G4" t="s">
        <v>81</v>
      </c>
      <c r="H4" s="1">
        <v>328</v>
      </c>
      <c r="I4" s="1" t="s">
        <v>101</v>
      </c>
      <c r="J4" s="11">
        <v>45725</v>
      </c>
      <c r="K4" t="s">
        <v>91</v>
      </c>
    </row>
    <row r="5" spans="1:11" x14ac:dyDescent="0.3">
      <c r="A5" s="1">
        <v>33677.03</v>
      </c>
      <c r="B5" s="1" t="s">
        <v>104</v>
      </c>
      <c r="C5" s="16">
        <v>23</v>
      </c>
      <c r="D5" s="19">
        <f>Tabela6[[#This Row],[FATURAMENTO]]/Tabela6[[#This Row],[Dias úteis]]</f>
        <v>1464.2186956521739</v>
      </c>
      <c r="G5" t="s">
        <v>82</v>
      </c>
      <c r="H5" s="1">
        <v>163.4</v>
      </c>
      <c r="I5" s="1" t="s">
        <v>101</v>
      </c>
      <c r="J5" s="11">
        <v>45725</v>
      </c>
      <c r="K5" t="s">
        <v>91</v>
      </c>
    </row>
    <row r="6" spans="1:11" x14ac:dyDescent="0.3">
      <c r="A6" s="1">
        <v>75296.19</v>
      </c>
      <c r="B6" s="1" t="s">
        <v>107</v>
      </c>
      <c r="C6" s="16">
        <v>26</v>
      </c>
      <c r="D6" s="19">
        <f>Tabela6[[#This Row],[FATURAMENTO]]/Tabela6[[#This Row],[Dias úteis]]</f>
        <v>2896.0073076923077</v>
      </c>
      <c r="G6" t="s">
        <v>83</v>
      </c>
      <c r="H6" s="1">
        <v>163.4</v>
      </c>
      <c r="I6" s="1" t="s">
        <v>101</v>
      </c>
      <c r="J6" s="11">
        <v>45725</v>
      </c>
      <c r="K6" t="s">
        <v>91</v>
      </c>
    </row>
    <row r="7" spans="1:11" x14ac:dyDescent="0.3">
      <c r="A7" s="1">
        <v>82584.69</v>
      </c>
      <c r="B7" s="1" t="s">
        <v>108</v>
      </c>
      <c r="C7" s="16">
        <v>23</v>
      </c>
      <c r="D7" s="19">
        <f>Tabela6[[#This Row],[FATURAMENTO]]/Tabela6[[#This Row],[Dias úteis]]</f>
        <v>3590.6386956521742</v>
      </c>
      <c r="G7" t="s">
        <v>84</v>
      </c>
      <c r="H7" s="1">
        <v>328</v>
      </c>
      <c r="I7" s="1" t="s">
        <v>101</v>
      </c>
      <c r="J7" s="11">
        <v>45725</v>
      </c>
      <c r="K7" t="s">
        <v>91</v>
      </c>
    </row>
    <row r="8" spans="1:11" x14ac:dyDescent="0.3">
      <c r="A8" s="1">
        <v>98441.49</v>
      </c>
      <c r="B8" s="1" t="s">
        <v>109</v>
      </c>
      <c r="C8" s="16">
        <v>27</v>
      </c>
      <c r="D8" s="19">
        <f>Tabela6[[#This Row],[FATURAMENTO]]/Tabela6[[#This Row],[Dias úteis]]</f>
        <v>3645.9811111111112</v>
      </c>
      <c r="G8" t="s">
        <v>85</v>
      </c>
      <c r="H8" s="1">
        <v>163.4</v>
      </c>
      <c r="I8" s="1" t="s">
        <v>101</v>
      </c>
      <c r="J8" s="11">
        <v>45725</v>
      </c>
      <c r="K8" t="s">
        <v>91</v>
      </c>
    </row>
    <row r="9" spans="1:11" x14ac:dyDescent="0.3">
      <c r="A9" s="1">
        <v>91398.02</v>
      </c>
      <c r="B9" s="1" t="s">
        <v>110</v>
      </c>
      <c r="C9" s="16">
        <v>26</v>
      </c>
      <c r="D9" s="19">
        <f>Tabela6[[#This Row],[FATURAMENTO]]/Tabela6[[#This Row],[Dias úteis]]</f>
        <v>3515.3084615384619</v>
      </c>
      <c r="G9" t="s">
        <v>86</v>
      </c>
      <c r="H9" s="1">
        <v>328</v>
      </c>
      <c r="I9" s="1" t="s">
        <v>101</v>
      </c>
      <c r="J9" s="11">
        <v>45725</v>
      </c>
      <c r="K9" t="s">
        <v>91</v>
      </c>
    </row>
    <row r="10" spans="1:11" x14ac:dyDescent="0.3">
      <c r="A10" s="1">
        <v>111957.9</v>
      </c>
      <c r="B10" s="1" t="s">
        <v>111</v>
      </c>
      <c r="C10" s="16">
        <v>26</v>
      </c>
      <c r="D10" s="19">
        <f>Tabela6[[#This Row],[FATURAMENTO]]/Tabela6[[#This Row],[Dias úteis]]</f>
        <v>4306.0730769230768</v>
      </c>
      <c r="G10" t="s">
        <v>35</v>
      </c>
      <c r="H10" s="1">
        <v>80</v>
      </c>
      <c r="I10" s="1" t="s">
        <v>101</v>
      </c>
      <c r="J10" s="11">
        <v>45734</v>
      </c>
      <c r="K10" t="s">
        <v>96</v>
      </c>
    </row>
    <row r="11" spans="1:11" x14ac:dyDescent="0.3">
      <c r="A11" s="1">
        <v>119189</v>
      </c>
      <c r="B11" s="1" t="s">
        <v>112</v>
      </c>
      <c r="C11" s="16">
        <v>27</v>
      </c>
      <c r="D11" s="19">
        <f>Tabela6[[#This Row],[FATURAMENTO]]/Tabela6[[#This Row],[Dias úteis]]</f>
        <v>4414.4074074074078</v>
      </c>
      <c r="G11" t="s">
        <v>76</v>
      </c>
      <c r="H11" s="1">
        <v>32</v>
      </c>
      <c r="I11" s="1" t="s">
        <v>101</v>
      </c>
      <c r="J11" s="11">
        <v>45736</v>
      </c>
      <c r="K11" t="s">
        <v>93</v>
      </c>
    </row>
    <row r="12" spans="1:11" x14ac:dyDescent="0.3">
      <c r="A12" s="1">
        <v>103808.5</v>
      </c>
      <c r="B12" s="1" t="s">
        <v>113</v>
      </c>
      <c r="C12" s="16">
        <v>26</v>
      </c>
      <c r="D12" s="19">
        <f>Tabela6[[#This Row],[FATURAMENTO]]/Tabela6[[#This Row],[Dias úteis]]</f>
        <v>3992.6346153846152</v>
      </c>
      <c r="G12" t="s">
        <v>77</v>
      </c>
      <c r="H12" s="1">
        <v>300</v>
      </c>
      <c r="I12" s="1" t="s">
        <v>101</v>
      </c>
      <c r="J12" s="11">
        <v>45737</v>
      </c>
      <c r="K12" t="s">
        <v>90</v>
      </c>
    </row>
    <row r="13" spans="1:11" x14ac:dyDescent="0.3">
      <c r="A13" s="1">
        <v>68519.09</v>
      </c>
      <c r="B13" s="1" t="s">
        <v>114</v>
      </c>
      <c r="C13" s="16">
        <v>19</v>
      </c>
      <c r="D13" s="19">
        <f>Tabela6[[#This Row],[FATURAMENTO]]/Tabela6[[#This Row],[Dias úteis]]</f>
        <v>3606.2678947368418</v>
      </c>
      <c r="G13" t="s">
        <v>78</v>
      </c>
      <c r="H13" s="1">
        <v>300</v>
      </c>
      <c r="I13" s="1" t="s">
        <v>101</v>
      </c>
      <c r="J13" s="11">
        <v>45737</v>
      </c>
      <c r="K13" t="s">
        <v>90</v>
      </c>
    </row>
    <row r="14" spans="1:11" x14ac:dyDescent="0.3">
      <c r="G14" t="s">
        <v>74</v>
      </c>
      <c r="H14" s="1">
        <v>300</v>
      </c>
      <c r="I14" s="1" t="s">
        <v>101</v>
      </c>
      <c r="J14" s="11">
        <v>45737</v>
      </c>
      <c r="K14" t="s">
        <v>90</v>
      </c>
    </row>
    <row r="15" spans="1:11" x14ac:dyDescent="0.3">
      <c r="G15" t="s">
        <v>33</v>
      </c>
      <c r="H15" s="1">
        <v>350</v>
      </c>
      <c r="I15" s="1" t="s">
        <v>101</v>
      </c>
      <c r="J15" s="11">
        <v>45737</v>
      </c>
      <c r="K15" t="s">
        <v>97</v>
      </c>
    </row>
    <row r="16" spans="1:11" x14ac:dyDescent="0.3">
      <c r="G16" t="s">
        <v>65</v>
      </c>
      <c r="H16" s="1">
        <v>300</v>
      </c>
      <c r="I16" s="1" t="s">
        <v>101</v>
      </c>
      <c r="J16" s="11">
        <v>45740</v>
      </c>
      <c r="K16" t="s">
        <v>90</v>
      </c>
    </row>
    <row r="17" spans="3:11" x14ac:dyDescent="0.3">
      <c r="G17" t="s">
        <v>66</v>
      </c>
      <c r="H17" s="1">
        <v>300</v>
      </c>
      <c r="I17" s="1" t="s">
        <v>101</v>
      </c>
      <c r="J17" s="11">
        <v>45741</v>
      </c>
      <c r="K17" t="s">
        <v>90</v>
      </c>
    </row>
    <row r="18" spans="3:11" x14ac:dyDescent="0.3">
      <c r="G18" t="s">
        <v>67</v>
      </c>
      <c r="H18" s="1">
        <v>326.8</v>
      </c>
      <c r="I18" s="1" t="s">
        <v>101</v>
      </c>
      <c r="J18" s="11">
        <v>45741</v>
      </c>
      <c r="K18" t="s">
        <v>91</v>
      </c>
    </row>
    <row r="19" spans="3:11" x14ac:dyDescent="0.3">
      <c r="G19" t="s">
        <v>60</v>
      </c>
      <c r="H19" s="1">
        <v>56.16</v>
      </c>
      <c r="I19" s="1" t="s">
        <v>101</v>
      </c>
      <c r="J19" s="11">
        <v>45741</v>
      </c>
      <c r="K19" t="s">
        <v>93</v>
      </c>
    </row>
    <row r="20" spans="3:11" x14ac:dyDescent="0.3">
      <c r="G20" t="s">
        <v>68</v>
      </c>
      <c r="H20" s="1">
        <v>127.1</v>
      </c>
      <c r="I20" s="1" t="s">
        <v>101</v>
      </c>
      <c r="J20" s="11">
        <v>45741</v>
      </c>
      <c r="K20" t="s">
        <v>94</v>
      </c>
    </row>
    <row r="21" spans="3:11" x14ac:dyDescent="0.3">
      <c r="G21" t="s">
        <v>79</v>
      </c>
      <c r="H21" s="1">
        <v>360</v>
      </c>
      <c r="I21" s="1" t="s">
        <v>101</v>
      </c>
      <c r="J21" s="11">
        <v>45741</v>
      </c>
      <c r="K21" t="s">
        <v>90</v>
      </c>
    </row>
    <row r="22" spans="3:11" x14ac:dyDescent="0.3">
      <c r="G22" t="s">
        <v>69</v>
      </c>
      <c r="H22" s="1">
        <v>300</v>
      </c>
      <c r="I22" s="1" t="s">
        <v>101</v>
      </c>
      <c r="J22" s="11">
        <v>45742</v>
      </c>
      <c r="K22" t="s">
        <v>90</v>
      </c>
    </row>
    <row r="23" spans="3:11" x14ac:dyDescent="0.3">
      <c r="G23" t="s">
        <v>70</v>
      </c>
      <c r="H23" s="1">
        <v>400</v>
      </c>
      <c r="I23" s="1" t="s">
        <v>101</v>
      </c>
      <c r="J23" s="11">
        <v>45742</v>
      </c>
      <c r="K23" t="s">
        <v>92</v>
      </c>
    </row>
    <row r="24" spans="3:11" x14ac:dyDescent="0.3">
      <c r="G24" t="s">
        <v>41</v>
      </c>
      <c r="H24" s="1">
        <v>32</v>
      </c>
      <c r="I24" s="1" t="s">
        <v>101</v>
      </c>
      <c r="J24" s="11">
        <v>45742</v>
      </c>
      <c r="K24" t="s">
        <v>93</v>
      </c>
    </row>
    <row r="25" spans="3:11" x14ac:dyDescent="0.3">
      <c r="G25" t="s">
        <v>68</v>
      </c>
      <c r="H25" s="1">
        <v>43.05</v>
      </c>
      <c r="I25" s="1" t="s">
        <v>101</v>
      </c>
      <c r="J25" s="11">
        <v>45743</v>
      </c>
      <c r="K25" t="s">
        <v>94</v>
      </c>
    </row>
    <row r="26" spans="3:11" x14ac:dyDescent="0.3">
      <c r="G26" t="s">
        <v>60</v>
      </c>
      <c r="H26" s="1">
        <v>15</v>
      </c>
      <c r="I26" s="1" t="s">
        <v>101</v>
      </c>
      <c r="J26" s="11">
        <v>45743</v>
      </c>
      <c r="K26" t="s">
        <v>93</v>
      </c>
    </row>
    <row r="27" spans="3:11" x14ac:dyDescent="0.3">
      <c r="C27" t="s">
        <v>330</v>
      </c>
      <c r="G27" t="s">
        <v>71</v>
      </c>
      <c r="H27" s="1">
        <v>20</v>
      </c>
      <c r="I27" s="1" t="s">
        <v>101</v>
      </c>
      <c r="J27" s="11">
        <v>45744</v>
      </c>
      <c r="K27" t="s">
        <v>92</v>
      </c>
    </row>
    <row r="28" spans="3:11" x14ac:dyDescent="0.3">
      <c r="G28" t="s">
        <v>73</v>
      </c>
      <c r="H28" s="1">
        <v>400</v>
      </c>
      <c r="I28" s="1" t="s">
        <v>101</v>
      </c>
      <c r="J28" s="11">
        <v>45744</v>
      </c>
      <c r="K28" t="s">
        <v>90</v>
      </c>
    </row>
    <row r="29" spans="3:11" x14ac:dyDescent="0.3">
      <c r="G29" t="s">
        <v>74</v>
      </c>
      <c r="H29" s="1">
        <v>900</v>
      </c>
      <c r="I29" s="1" t="s">
        <v>101</v>
      </c>
      <c r="J29" s="11">
        <v>45744</v>
      </c>
      <c r="K29" t="s">
        <v>90</v>
      </c>
    </row>
    <row r="30" spans="3:11" x14ac:dyDescent="0.3">
      <c r="G30" t="s">
        <v>77</v>
      </c>
      <c r="H30" s="1">
        <v>300</v>
      </c>
      <c r="I30" s="1" t="s">
        <v>101</v>
      </c>
      <c r="J30" s="11">
        <v>45744</v>
      </c>
      <c r="K30" t="s">
        <v>90</v>
      </c>
    </row>
    <row r="31" spans="3:11" x14ac:dyDescent="0.3">
      <c r="G31" t="s">
        <v>33</v>
      </c>
      <c r="H31" s="1">
        <v>350</v>
      </c>
      <c r="I31" s="1" t="s">
        <v>101</v>
      </c>
      <c r="J31" s="11">
        <v>45744</v>
      </c>
      <c r="K31" t="s">
        <v>97</v>
      </c>
    </row>
    <row r="32" spans="3:11" x14ac:dyDescent="0.3">
      <c r="G32" t="s">
        <v>72</v>
      </c>
      <c r="H32" s="1">
        <v>80</v>
      </c>
      <c r="I32" s="1" t="s">
        <v>101</v>
      </c>
      <c r="J32" s="11">
        <v>45744</v>
      </c>
      <c r="K32" t="s">
        <v>95</v>
      </c>
    </row>
    <row r="33" spans="7:11" x14ac:dyDescent="0.3">
      <c r="G33" t="s">
        <v>80</v>
      </c>
      <c r="H33" s="1">
        <v>215</v>
      </c>
      <c r="I33" s="1" t="s">
        <v>101</v>
      </c>
      <c r="J33" s="11">
        <v>45744</v>
      </c>
      <c r="K33" t="s">
        <v>95</v>
      </c>
    </row>
    <row r="34" spans="7:11" x14ac:dyDescent="0.3">
      <c r="G34" t="s">
        <v>75</v>
      </c>
      <c r="H34" s="1">
        <v>50</v>
      </c>
      <c r="I34" s="1" t="s">
        <v>101</v>
      </c>
      <c r="J34" s="11">
        <v>45745</v>
      </c>
      <c r="K34" t="s">
        <v>90</v>
      </c>
    </row>
    <row r="35" spans="7:11" x14ac:dyDescent="0.3">
      <c r="G35" t="s">
        <v>74</v>
      </c>
      <c r="H35" s="1">
        <v>180</v>
      </c>
      <c r="I35" s="1" t="s">
        <v>101</v>
      </c>
      <c r="J35" s="11">
        <v>45747</v>
      </c>
      <c r="K35" t="s">
        <v>90</v>
      </c>
    </row>
    <row r="36" spans="7:11" x14ac:dyDescent="0.3">
      <c r="G36" t="s">
        <v>68</v>
      </c>
      <c r="H36" s="1">
        <v>171.95</v>
      </c>
      <c r="I36" s="1" t="s">
        <v>104</v>
      </c>
      <c r="J36" s="11">
        <v>45748</v>
      </c>
      <c r="K36" t="s">
        <v>94</v>
      </c>
    </row>
    <row r="37" spans="7:11" x14ac:dyDescent="0.3">
      <c r="G37" t="s">
        <v>115</v>
      </c>
      <c r="H37" s="1">
        <v>37</v>
      </c>
      <c r="I37" s="1" t="s">
        <v>104</v>
      </c>
      <c r="J37" s="11">
        <v>45748</v>
      </c>
      <c r="K37" t="s">
        <v>115</v>
      </c>
    </row>
    <row r="38" spans="7:11" x14ac:dyDescent="0.3">
      <c r="G38" t="s">
        <v>74</v>
      </c>
      <c r="H38" s="1">
        <v>600</v>
      </c>
      <c r="I38" s="1" t="s">
        <v>104</v>
      </c>
      <c r="J38" s="11">
        <v>45748</v>
      </c>
      <c r="K38" t="s">
        <v>90</v>
      </c>
    </row>
    <row r="39" spans="7:11" x14ac:dyDescent="0.3">
      <c r="G39" t="s">
        <v>116</v>
      </c>
      <c r="H39" s="1">
        <v>300</v>
      </c>
      <c r="I39" s="1" t="s">
        <v>104</v>
      </c>
      <c r="J39" s="11">
        <v>45749</v>
      </c>
      <c r="K39" t="s">
        <v>90</v>
      </c>
    </row>
    <row r="40" spans="7:11" x14ac:dyDescent="0.3">
      <c r="G40" t="s">
        <v>117</v>
      </c>
      <c r="H40" s="1">
        <v>300</v>
      </c>
      <c r="I40" s="1" t="s">
        <v>104</v>
      </c>
      <c r="J40" s="11">
        <v>45749</v>
      </c>
      <c r="K40" t="s">
        <v>90</v>
      </c>
    </row>
    <row r="41" spans="7:11" x14ac:dyDescent="0.3">
      <c r="G41" t="s">
        <v>49</v>
      </c>
      <c r="H41" s="1">
        <v>155</v>
      </c>
      <c r="I41" s="1" t="s">
        <v>104</v>
      </c>
      <c r="J41" s="11">
        <v>45749</v>
      </c>
      <c r="K41" t="s">
        <v>95</v>
      </c>
    </row>
    <row r="42" spans="7:11" x14ac:dyDescent="0.3">
      <c r="G42" t="s">
        <v>118</v>
      </c>
      <c r="H42" s="1">
        <v>120</v>
      </c>
      <c r="I42" s="1" t="s">
        <v>104</v>
      </c>
      <c r="J42" s="11">
        <v>45750</v>
      </c>
      <c r="K42" t="s">
        <v>210</v>
      </c>
    </row>
    <row r="43" spans="7:11" x14ac:dyDescent="0.3">
      <c r="G43" t="s">
        <v>119</v>
      </c>
      <c r="H43" s="1">
        <v>491.4</v>
      </c>
      <c r="I43" s="1" t="s">
        <v>104</v>
      </c>
      <c r="J43" s="11">
        <v>45750</v>
      </c>
      <c r="K43" t="s">
        <v>91</v>
      </c>
    </row>
    <row r="44" spans="7:11" x14ac:dyDescent="0.3">
      <c r="G44" t="s">
        <v>120</v>
      </c>
      <c r="H44" s="1">
        <v>491.4</v>
      </c>
      <c r="I44" s="1" t="s">
        <v>104</v>
      </c>
      <c r="J44" s="11">
        <v>45750</v>
      </c>
      <c r="K44" t="s">
        <v>91</v>
      </c>
    </row>
    <row r="45" spans="7:11" x14ac:dyDescent="0.3">
      <c r="G45" t="s">
        <v>121</v>
      </c>
      <c r="H45" s="1">
        <v>654.79999999999995</v>
      </c>
      <c r="I45" s="1" t="s">
        <v>104</v>
      </c>
      <c r="J45" s="11">
        <v>45750</v>
      </c>
      <c r="K45" t="s">
        <v>91</v>
      </c>
    </row>
    <row r="46" spans="7:11" x14ac:dyDescent="0.3">
      <c r="G46" t="s">
        <v>68</v>
      </c>
      <c r="H46" s="1">
        <v>153.38</v>
      </c>
      <c r="I46" s="1" t="s">
        <v>104</v>
      </c>
      <c r="J46" s="11">
        <v>45750</v>
      </c>
      <c r="K46" t="s">
        <v>94</v>
      </c>
    </row>
    <row r="47" spans="7:11" x14ac:dyDescent="0.3">
      <c r="G47" t="s">
        <v>119</v>
      </c>
      <c r="H47" s="1">
        <v>116.4</v>
      </c>
      <c r="I47" s="1" t="s">
        <v>104</v>
      </c>
      <c r="J47" s="11">
        <v>45750</v>
      </c>
      <c r="K47" t="s">
        <v>91</v>
      </c>
    </row>
    <row r="48" spans="7:11" x14ac:dyDescent="0.3">
      <c r="G48" t="s">
        <v>120</v>
      </c>
      <c r="H48" s="1">
        <v>116.4</v>
      </c>
      <c r="I48" s="1" t="s">
        <v>104</v>
      </c>
      <c r="J48" s="11">
        <v>45750</v>
      </c>
      <c r="K48" t="s">
        <v>91</v>
      </c>
    </row>
    <row r="49" spans="7:11" x14ac:dyDescent="0.3">
      <c r="G49" t="s">
        <v>121</v>
      </c>
      <c r="H49" s="1">
        <v>158.80000000000001</v>
      </c>
      <c r="I49" s="1" t="s">
        <v>104</v>
      </c>
      <c r="J49" s="11">
        <v>45750</v>
      </c>
      <c r="K49" t="s">
        <v>91</v>
      </c>
    </row>
    <row r="50" spans="7:11" x14ac:dyDescent="0.3">
      <c r="G50" t="s">
        <v>122</v>
      </c>
      <c r="H50" s="1">
        <v>10</v>
      </c>
      <c r="I50" s="1" t="s">
        <v>104</v>
      </c>
      <c r="J50" s="11">
        <v>45750</v>
      </c>
      <c r="K50" t="s">
        <v>92</v>
      </c>
    </row>
    <row r="51" spans="7:11" x14ac:dyDescent="0.3">
      <c r="G51" t="s">
        <v>124</v>
      </c>
      <c r="H51" s="1">
        <v>1107</v>
      </c>
      <c r="I51" s="1" t="s">
        <v>104</v>
      </c>
      <c r="J51" s="11">
        <v>45751</v>
      </c>
      <c r="K51" t="s">
        <v>91</v>
      </c>
    </row>
    <row r="52" spans="7:11" x14ac:dyDescent="0.3">
      <c r="G52" t="s">
        <v>125</v>
      </c>
      <c r="H52" s="1">
        <v>1026</v>
      </c>
      <c r="I52" s="1" t="s">
        <v>104</v>
      </c>
      <c r="J52" s="11">
        <v>45751</v>
      </c>
      <c r="K52" t="s">
        <v>91</v>
      </c>
    </row>
    <row r="53" spans="7:11" x14ac:dyDescent="0.3">
      <c r="G53" t="s">
        <v>126</v>
      </c>
      <c r="H53" s="1">
        <v>1195</v>
      </c>
      <c r="I53" s="1" t="s">
        <v>104</v>
      </c>
      <c r="J53" s="11">
        <v>45751</v>
      </c>
      <c r="K53" t="s">
        <v>91</v>
      </c>
    </row>
    <row r="54" spans="7:11" x14ac:dyDescent="0.3">
      <c r="G54" t="s">
        <v>127</v>
      </c>
      <c r="H54" s="1">
        <v>90</v>
      </c>
      <c r="I54" s="1" t="s">
        <v>104</v>
      </c>
      <c r="J54" s="11">
        <v>45751</v>
      </c>
      <c r="K54" t="s">
        <v>92</v>
      </c>
    </row>
    <row r="55" spans="7:11" x14ac:dyDescent="0.3">
      <c r="G55" t="s">
        <v>128</v>
      </c>
      <c r="H55" s="1">
        <v>1600</v>
      </c>
      <c r="I55" s="1" t="s">
        <v>104</v>
      </c>
      <c r="J55" s="11">
        <v>45751</v>
      </c>
      <c r="K55" t="s">
        <v>92</v>
      </c>
    </row>
    <row r="56" spans="7:11" x14ac:dyDescent="0.3">
      <c r="G56" t="s">
        <v>129</v>
      </c>
      <c r="H56" s="1">
        <v>1500</v>
      </c>
      <c r="I56" s="1" t="s">
        <v>104</v>
      </c>
      <c r="J56" s="11">
        <v>45751</v>
      </c>
      <c r="K56" t="s">
        <v>91</v>
      </c>
    </row>
    <row r="57" spans="7:11" x14ac:dyDescent="0.3">
      <c r="G57" t="s">
        <v>130</v>
      </c>
      <c r="H57" s="1">
        <v>2000</v>
      </c>
      <c r="I57" s="1" t="s">
        <v>104</v>
      </c>
      <c r="J57" s="11">
        <v>45751</v>
      </c>
      <c r="K57" t="s">
        <v>91</v>
      </c>
    </row>
    <row r="58" spans="7:11" x14ac:dyDescent="0.3">
      <c r="G58" t="s">
        <v>33</v>
      </c>
      <c r="H58" s="1">
        <v>350</v>
      </c>
      <c r="I58" s="1" t="s">
        <v>104</v>
      </c>
      <c r="J58" s="11">
        <v>45751</v>
      </c>
      <c r="K58" t="s">
        <v>97</v>
      </c>
    </row>
    <row r="59" spans="7:11" x14ac:dyDescent="0.3">
      <c r="G59" t="s">
        <v>123</v>
      </c>
      <c r="H59" s="1">
        <v>40</v>
      </c>
      <c r="I59" s="1" t="s">
        <v>104</v>
      </c>
      <c r="J59" s="11">
        <v>45751</v>
      </c>
      <c r="K59" t="s">
        <v>95</v>
      </c>
    </row>
    <row r="60" spans="7:11" x14ac:dyDescent="0.3">
      <c r="G60" t="s">
        <v>131</v>
      </c>
      <c r="H60" s="1">
        <v>12</v>
      </c>
      <c r="I60" s="1" t="s">
        <v>104</v>
      </c>
      <c r="J60" s="11">
        <v>45752</v>
      </c>
      <c r="K60" t="s">
        <v>92</v>
      </c>
    </row>
    <row r="61" spans="7:11" x14ac:dyDescent="0.3">
      <c r="G61" t="s">
        <v>132</v>
      </c>
      <c r="H61" s="1">
        <v>100</v>
      </c>
      <c r="I61" s="1" t="s">
        <v>104</v>
      </c>
      <c r="J61" s="11">
        <v>45752</v>
      </c>
      <c r="K61" t="s">
        <v>90</v>
      </c>
    </row>
    <row r="62" spans="7:11" x14ac:dyDescent="0.3">
      <c r="G62" t="s">
        <v>46</v>
      </c>
      <c r="H62" s="1">
        <v>200</v>
      </c>
      <c r="I62" s="1" t="s">
        <v>104</v>
      </c>
      <c r="J62" s="11">
        <v>45752</v>
      </c>
      <c r="K62" t="s">
        <v>92</v>
      </c>
    </row>
    <row r="63" spans="7:11" x14ac:dyDescent="0.3">
      <c r="G63" t="s">
        <v>55</v>
      </c>
      <c r="H63" s="1">
        <v>20</v>
      </c>
      <c r="I63" s="1" t="s">
        <v>104</v>
      </c>
      <c r="J63" s="11">
        <v>45752</v>
      </c>
      <c r="K63" t="s">
        <v>92</v>
      </c>
    </row>
    <row r="64" spans="7:11" x14ac:dyDescent="0.3">
      <c r="G64" t="s">
        <v>133</v>
      </c>
      <c r="H64" s="1">
        <v>35</v>
      </c>
      <c r="I64" s="1" t="s">
        <v>104</v>
      </c>
      <c r="J64" s="11">
        <v>45754</v>
      </c>
      <c r="K64" t="s">
        <v>92</v>
      </c>
    </row>
    <row r="65" spans="7:11" x14ac:dyDescent="0.3">
      <c r="G65" t="s">
        <v>77</v>
      </c>
      <c r="H65" s="1">
        <v>300</v>
      </c>
      <c r="I65" s="1" t="s">
        <v>104</v>
      </c>
      <c r="J65" s="11">
        <v>45754</v>
      </c>
      <c r="K65" t="s">
        <v>90</v>
      </c>
    </row>
    <row r="66" spans="7:11" x14ac:dyDescent="0.3">
      <c r="G66" t="s">
        <v>49</v>
      </c>
      <c r="H66" s="1">
        <v>55</v>
      </c>
      <c r="I66" s="1" t="s">
        <v>104</v>
      </c>
      <c r="J66" s="11">
        <v>45754</v>
      </c>
      <c r="K66" t="s">
        <v>95</v>
      </c>
    </row>
    <row r="67" spans="7:11" x14ac:dyDescent="0.3">
      <c r="G67" t="s">
        <v>115</v>
      </c>
      <c r="H67" s="1">
        <v>5.5</v>
      </c>
      <c r="I67" s="1" t="s">
        <v>104</v>
      </c>
      <c r="J67" s="11">
        <v>45755</v>
      </c>
      <c r="K67" t="s">
        <v>115</v>
      </c>
    </row>
    <row r="68" spans="7:11" x14ac:dyDescent="0.3">
      <c r="G68" t="s">
        <v>134</v>
      </c>
      <c r="H68" s="1">
        <v>35</v>
      </c>
      <c r="I68" s="1" t="s">
        <v>104</v>
      </c>
      <c r="J68" s="11">
        <v>45755</v>
      </c>
      <c r="K68" t="s">
        <v>92</v>
      </c>
    </row>
    <row r="69" spans="7:11" x14ac:dyDescent="0.3">
      <c r="G69" t="s">
        <v>135</v>
      </c>
      <c r="H69" s="1">
        <v>70.349999999999994</v>
      </c>
      <c r="I69" s="1" t="s">
        <v>104</v>
      </c>
      <c r="J69" s="11">
        <v>45755</v>
      </c>
      <c r="K69" t="s">
        <v>96</v>
      </c>
    </row>
    <row r="70" spans="7:11" x14ac:dyDescent="0.3">
      <c r="G70" t="s">
        <v>136</v>
      </c>
      <c r="H70" s="1">
        <v>150</v>
      </c>
      <c r="I70" s="1" t="s">
        <v>104</v>
      </c>
      <c r="J70" s="11">
        <v>45755</v>
      </c>
      <c r="K70" t="s">
        <v>97</v>
      </c>
    </row>
    <row r="71" spans="7:11" x14ac:dyDescent="0.3">
      <c r="G71" t="s">
        <v>68</v>
      </c>
      <c r="H71" s="1">
        <v>21.34</v>
      </c>
      <c r="I71" s="1" t="s">
        <v>104</v>
      </c>
      <c r="J71" s="11">
        <v>45756</v>
      </c>
      <c r="K71" t="s">
        <v>94</v>
      </c>
    </row>
    <row r="72" spans="7:11" x14ac:dyDescent="0.3">
      <c r="G72" t="s">
        <v>137</v>
      </c>
      <c r="H72" s="1">
        <v>2500</v>
      </c>
      <c r="I72" s="1" t="s">
        <v>104</v>
      </c>
      <c r="J72" s="11">
        <v>45756</v>
      </c>
      <c r="K72" t="s">
        <v>211</v>
      </c>
    </row>
    <row r="73" spans="7:11" x14ac:dyDescent="0.3">
      <c r="G73" t="s">
        <v>138</v>
      </c>
      <c r="H73" s="1">
        <v>840</v>
      </c>
      <c r="I73" s="1" t="s">
        <v>104</v>
      </c>
      <c r="J73" s="11">
        <v>45756</v>
      </c>
      <c r="K73" t="s">
        <v>90</v>
      </c>
    </row>
    <row r="74" spans="7:11" x14ac:dyDescent="0.3">
      <c r="G74" t="s">
        <v>139</v>
      </c>
      <c r="H74" s="1">
        <v>16.989999999999998</v>
      </c>
      <c r="I74" s="1" t="s">
        <v>104</v>
      </c>
      <c r="J74" s="11">
        <v>45756</v>
      </c>
      <c r="K74" t="s">
        <v>92</v>
      </c>
    </row>
    <row r="75" spans="7:11" x14ac:dyDescent="0.3">
      <c r="G75" t="s">
        <v>74</v>
      </c>
      <c r="H75" s="1">
        <v>840</v>
      </c>
      <c r="I75" s="1" t="s">
        <v>104</v>
      </c>
      <c r="J75" s="11">
        <v>45756</v>
      </c>
      <c r="K75" t="s">
        <v>90</v>
      </c>
    </row>
    <row r="76" spans="7:11" x14ac:dyDescent="0.3">
      <c r="G76" t="s">
        <v>79</v>
      </c>
      <c r="H76" s="1">
        <v>1180</v>
      </c>
      <c r="I76" s="1" t="s">
        <v>104</v>
      </c>
      <c r="J76" s="11">
        <v>45756</v>
      </c>
      <c r="K76" t="s">
        <v>90</v>
      </c>
    </row>
    <row r="77" spans="7:11" x14ac:dyDescent="0.3">
      <c r="G77" t="s">
        <v>140</v>
      </c>
      <c r="H77" s="1">
        <v>300</v>
      </c>
      <c r="I77" s="1" t="s">
        <v>104</v>
      </c>
      <c r="J77" s="11">
        <v>45756</v>
      </c>
      <c r="K77" t="s">
        <v>91</v>
      </c>
    </row>
    <row r="78" spans="7:11" x14ac:dyDescent="0.3">
      <c r="G78" t="s">
        <v>123</v>
      </c>
      <c r="H78" s="1">
        <v>40</v>
      </c>
      <c r="I78" s="1" t="s">
        <v>104</v>
      </c>
      <c r="J78" s="11">
        <v>45756</v>
      </c>
      <c r="K78" t="s">
        <v>95</v>
      </c>
    </row>
    <row r="79" spans="7:11" x14ac:dyDescent="0.3">
      <c r="G79" t="s">
        <v>141</v>
      </c>
      <c r="H79" s="1">
        <v>747.88</v>
      </c>
      <c r="I79" s="1" t="s">
        <v>104</v>
      </c>
      <c r="J79" s="11">
        <v>45757</v>
      </c>
      <c r="K79" t="s">
        <v>91</v>
      </c>
    </row>
    <row r="80" spans="7:11" x14ac:dyDescent="0.3">
      <c r="G80" t="s">
        <v>142</v>
      </c>
      <c r="H80" s="1">
        <v>108.38</v>
      </c>
      <c r="I80" s="1" t="s">
        <v>104</v>
      </c>
      <c r="J80" s="11">
        <v>45757</v>
      </c>
      <c r="K80" t="s">
        <v>91</v>
      </c>
    </row>
    <row r="81" spans="7:11" x14ac:dyDescent="0.3">
      <c r="G81" t="s">
        <v>143</v>
      </c>
      <c r="H81" s="1">
        <v>11.5</v>
      </c>
      <c r="I81" s="1" t="s">
        <v>104</v>
      </c>
      <c r="J81" s="11">
        <v>45757</v>
      </c>
      <c r="K81" t="s">
        <v>115</v>
      </c>
    </row>
    <row r="82" spans="7:11" x14ac:dyDescent="0.3">
      <c r="G82" t="s">
        <v>144</v>
      </c>
      <c r="H82" s="1">
        <v>125.53</v>
      </c>
      <c r="I82" s="1" t="s">
        <v>104</v>
      </c>
      <c r="J82" s="11">
        <v>45757</v>
      </c>
      <c r="K82" t="s">
        <v>91</v>
      </c>
    </row>
    <row r="83" spans="7:11" x14ac:dyDescent="0.3">
      <c r="G83" t="s">
        <v>145</v>
      </c>
      <c r="H83" s="1">
        <v>300</v>
      </c>
      <c r="I83" s="1" t="s">
        <v>104</v>
      </c>
      <c r="J83" s="11">
        <v>45757</v>
      </c>
      <c r="K83" t="s">
        <v>90</v>
      </c>
    </row>
    <row r="84" spans="7:11" x14ac:dyDescent="0.3">
      <c r="G84" t="s">
        <v>146</v>
      </c>
      <c r="H84" s="1">
        <v>50</v>
      </c>
      <c r="I84" s="1" t="s">
        <v>104</v>
      </c>
      <c r="J84" s="11">
        <v>45757</v>
      </c>
      <c r="K84" t="s">
        <v>92</v>
      </c>
    </row>
    <row r="85" spans="7:11" x14ac:dyDescent="0.3">
      <c r="G85" t="s">
        <v>152</v>
      </c>
      <c r="H85" s="1">
        <v>5500</v>
      </c>
      <c r="I85" s="1" t="s">
        <v>104</v>
      </c>
      <c r="J85" s="11">
        <v>45757</v>
      </c>
      <c r="K85" t="s">
        <v>212</v>
      </c>
    </row>
    <row r="86" spans="7:11" x14ac:dyDescent="0.3">
      <c r="G86" t="s">
        <v>153</v>
      </c>
      <c r="H86" s="1">
        <v>1500</v>
      </c>
      <c r="I86" s="1" t="s">
        <v>104</v>
      </c>
      <c r="J86" s="11">
        <v>45757</v>
      </c>
      <c r="K86" t="s">
        <v>90</v>
      </c>
    </row>
    <row r="87" spans="7:11" x14ac:dyDescent="0.3">
      <c r="G87" t="s">
        <v>123</v>
      </c>
      <c r="H87" s="1">
        <v>40</v>
      </c>
      <c r="I87" s="1" t="s">
        <v>104</v>
      </c>
      <c r="J87" s="11">
        <v>45757</v>
      </c>
      <c r="K87" t="s">
        <v>95</v>
      </c>
    </row>
    <row r="88" spans="7:11" x14ac:dyDescent="0.3">
      <c r="G88" t="s">
        <v>147</v>
      </c>
      <c r="H88" s="1">
        <v>330</v>
      </c>
      <c r="I88" s="1" t="s">
        <v>104</v>
      </c>
      <c r="J88" s="11">
        <v>45758</v>
      </c>
      <c r="K88" t="s">
        <v>90</v>
      </c>
    </row>
    <row r="89" spans="7:11" x14ac:dyDescent="0.3">
      <c r="G89" t="s">
        <v>148</v>
      </c>
      <c r="H89" s="1">
        <v>58</v>
      </c>
      <c r="I89" s="1" t="s">
        <v>104</v>
      </c>
      <c r="J89" s="11">
        <v>45758</v>
      </c>
      <c r="K89" t="s">
        <v>96</v>
      </c>
    </row>
    <row r="90" spans="7:11" x14ac:dyDescent="0.3">
      <c r="G90" t="s">
        <v>149</v>
      </c>
      <c r="H90" s="1">
        <v>160</v>
      </c>
      <c r="I90" s="1" t="s">
        <v>104</v>
      </c>
      <c r="J90" s="11">
        <v>45758</v>
      </c>
      <c r="K90" t="s">
        <v>210</v>
      </c>
    </row>
    <row r="91" spans="7:11" x14ac:dyDescent="0.3">
      <c r="G91" t="s">
        <v>73</v>
      </c>
      <c r="H91" s="1">
        <v>300</v>
      </c>
      <c r="I91" s="1" t="s">
        <v>104</v>
      </c>
      <c r="J91" s="11">
        <v>45758</v>
      </c>
      <c r="K91" t="s">
        <v>90</v>
      </c>
    </row>
    <row r="92" spans="7:11" x14ac:dyDescent="0.3">
      <c r="G92" t="s">
        <v>74</v>
      </c>
      <c r="H92" s="1">
        <v>720</v>
      </c>
      <c r="I92" s="1" t="s">
        <v>104</v>
      </c>
      <c r="J92" s="11">
        <v>45758</v>
      </c>
      <c r="K92" t="s">
        <v>90</v>
      </c>
    </row>
    <row r="93" spans="7:11" x14ac:dyDescent="0.3">
      <c r="G93" t="s">
        <v>33</v>
      </c>
      <c r="H93" s="1">
        <v>350</v>
      </c>
      <c r="I93" s="1" t="s">
        <v>104</v>
      </c>
      <c r="J93" s="11">
        <v>45758</v>
      </c>
      <c r="K93" t="s">
        <v>97</v>
      </c>
    </row>
    <row r="94" spans="7:11" x14ac:dyDescent="0.3">
      <c r="G94" t="s">
        <v>150</v>
      </c>
      <c r="H94" s="1">
        <v>75</v>
      </c>
      <c r="I94" s="1" t="s">
        <v>104</v>
      </c>
      <c r="J94" s="11">
        <v>45759</v>
      </c>
      <c r="K94" t="s">
        <v>90</v>
      </c>
    </row>
    <row r="95" spans="7:11" x14ac:dyDescent="0.3">
      <c r="G95" t="s">
        <v>151</v>
      </c>
      <c r="H95" s="1">
        <v>3608</v>
      </c>
      <c r="I95" s="1" t="s">
        <v>104</v>
      </c>
      <c r="J95" s="11">
        <v>45759</v>
      </c>
      <c r="K95" t="s">
        <v>92</v>
      </c>
    </row>
    <row r="96" spans="7:11" x14ac:dyDescent="0.3">
      <c r="G96" t="s">
        <v>178</v>
      </c>
      <c r="H96" s="1">
        <v>257.05</v>
      </c>
      <c r="I96" s="1" t="s">
        <v>104</v>
      </c>
      <c r="J96" s="11">
        <v>45761</v>
      </c>
      <c r="K96" t="s">
        <v>96</v>
      </c>
    </row>
    <row r="97" spans="7:11" x14ac:dyDescent="0.3">
      <c r="G97" t="s">
        <v>178</v>
      </c>
      <c r="H97" s="1">
        <v>128.6</v>
      </c>
      <c r="I97" s="1" t="s">
        <v>104</v>
      </c>
      <c r="J97" s="11">
        <v>45761</v>
      </c>
      <c r="K97" t="s">
        <v>96</v>
      </c>
    </row>
    <row r="98" spans="7:11" x14ac:dyDescent="0.3">
      <c r="G98" t="s">
        <v>179</v>
      </c>
      <c r="H98" s="1">
        <v>300</v>
      </c>
      <c r="I98" s="1" t="s">
        <v>104</v>
      </c>
      <c r="J98" s="11">
        <v>45761</v>
      </c>
      <c r="K98" t="s">
        <v>90</v>
      </c>
    </row>
    <row r="99" spans="7:11" x14ac:dyDescent="0.3">
      <c r="G99" t="s">
        <v>180</v>
      </c>
      <c r="H99" s="1">
        <v>300</v>
      </c>
      <c r="I99" s="1" t="s">
        <v>104</v>
      </c>
      <c r="J99" s="11">
        <v>45761</v>
      </c>
      <c r="K99" t="s">
        <v>90</v>
      </c>
    </row>
    <row r="100" spans="7:11" x14ac:dyDescent="0.3">
      <c r="G100" t="s">
        <v>79</v>
      </c>
      <c r="H100" s="1">
        <v>300</v>
      </c>
      <c r="I100" s="1" t="s">
        <v>104</v>
      </c>
      <c r="J100" s="11">
        <v>45761</v>
      </c>
      <c r="K100" t="s">
        <v>90</v>
      </c>
    </row>
    <row r="101" spans="7:11" x14ac:dyDescent="0.3">
      <c r="G101" t="s">
        <v>49</v>
      </c>
      <c r="H101" s="1">
        <v>165</v>
      </c>
      <c r="I101" s="1" t="s">
        <v>104</v>
      </c>
      <c r="J101" s="11">
        <v>45761</v>
      </c>
      <c r="K101" t="s">
        <v>95</v>
      </c>
    </row>
    <row r="102" spans="7:11" x14ac:dyDescent="0.3">
      <c r="G102" t="s">
        <v>143</v>
      </c>
      <c r="H102" s="1">
        <v>30</v>
      </c>
      <c r="I102" s="1" t="s">
        <v>104</v>
      </c>
      <c r="J102" s="11">
        <v>45762</v>
      </c>
      <c r="K102" t="s">
        <v>115</v>
      </c>
    </row>
    <row r="103" spans="7:11" x14ac:dyDescent="0.3">
      <c r="G103" t="s">
        <v>181</v>
      </c>
      <c r="H103" s="1">
        <v>375</v>
      </c>
      <c r="I103" s="1" t="s">
        <v>104</v>
      </c>
      <c r="J103" s="11">
        <v>45762</v>
      </c>
      <c r="K103" t="s">
        <v>90</v>
      </c>
    </row>
    <row r="104" spans="7:11" x14ac:dyDescent="0.3">
      <c r="G104" t="s">
        <v>74</v>
      </c>
      <c r="H104" s="1">
        <v>485</v>
      </c>
      <c r="I104" s="1" t="s">
        <v>104</v>
      </c>
      <c r="J104" s="11">
        <v>45762</v>
      </c>
      <c r="K104" t="s">
        <v>90</v>
      </c>
    </row>
    <row r="105" spans="7:11" x14ac:dyDescent="0.3">
      <c r="G105" t="s">
        <v>182</v>
      </c>
      <c r="H105" s="1">
        <v>1264</v>
      </c>
      <c r="I105" s="1" t="s">
        <v>104</v>
      </c>
      <c r="J105" s="11">
        <v>45762</v>
      </c>
      <c r="K105" t="s">
        <v>91</v>
      </c>
    </row>
    <row r="106" spans="7:11" x14ac:dyDescent="0.3">
      <c r="G106" t="s">
        <v>183</v>
      </c>
      <c r="H106" s="1">
        <v>200</v>
      </c>
      <c r="I106" s="1" t="s">
        <v>104</v>
      </c>
      <c r="J106" s="11">
        <v>45763</v>
      </c>
      <c r="K106" t="s">
        <v>92</v>
      </c>
    </row>
    <row r="107" spans="7:11" x14ac:dyDescent="0.3">
      <c r="G107" t="s">
        <v>132</v>
      </c>
      <c r="H107" s="1">
        <v>100</v>
      </c>
      <c r="I107" s="1" t="s">
        <v>104</v>
      </c>
      <c r="J107" s="11">
        <v>45763</v>
      </c>
      <c r="K107" t="s">
        <v>90</v>
      </c>
    </row>
    <row r="108" spans="7:11" x14ac:dyDescent="0.3">
      <c r="G108" t="s">
        <v>184</v>
      </c>
      <c r="H108" s="1">
        <v>309.27999999999997</v>
      </c>
      <c r="I108" s="1" t="s">
        <v>104</v>
      </c>
      <c r="J108" s="11">
        <v>45763</v>
      </c>
      <c r="K108" t="s">
        <v>96</v>
      </c>
    </row>
    <row r="109" spans="7:11" x14ac:dyDescent="0.3">
      <c r="G109" t="s">
        <v>118</v>
      </c>
      <c r="H109" s="1">
        <v>100</v>
      </c>
      <c r="I109" s="1" t="s">
        <v>104</v>
      </c>
      <c r="J109" s="11">
        <v>45763</v>
      </c>
      <c r="K109" t="s">
        <v>210</v>
      </c>
    </row>
    <row r="110" spans="7:11" x14ac:dyDescent="0.3">
      <c r="G110" t="s">
        <v>60</v>
      </c>
      <c r="H110" s="1">
        <v>15</v>
      </c>
      <c r="I110" s="1" t="s">
        <v>104</v>
      </c>
      <c r="J110" s="11">
        <v>45763</v>
      </c>
      <c r="K110" t="s">
        <v>92</v>
      </c>
    </row>
    <row r="111" spans="7:11" x14ac:dyDescent="0.3">
      <c r="G111" t="s">
        <v>116</v>
      </c>
      <c r="H111" s="1">
        <v>300</v>
      </c>
      <c r="I111" s="1" t="s">
        <v>104</v>
      </c>
      <c r="J111" s="11">
        <v>45763</v>
      </c>
      <c r="K111" t="s">
        <v>90</v>
      </c>
    </row>
    <row r="112" spans="7:11" x14ac:dyDescent="0.3">
      <c r="G112" t="s">
        <v>186</v>
      </c>
      <c r="H112" s="1">
        <v>288.7</v>
      </c>
      <c r="I112" s="1" t="s">
        <v>104</v>
      </c>
      <c r="J112" s="11">
        <v>45764</v>
      </c>
      <c r="K112" t="s">
        <v>91</v>
      </c>
    </row>
    <row r="113" spans="7:11" x14ac:dyDescent="0.3">
      <c r="G113" t="s">
        <v>186</v>
      </c>
      <c r="H113" s="1">
        <v>183.2</v>
      </c>
      <c r="I113" s="1" t="s">
        <v>104</v>
      </c>
      <c r="J113" s="11">
        <v>45764</v>
      </c>
      <c r="K113" t="s">
        <v>91</v>
      </c>
    </row>
    <row r="114" spans="7:11" x14ac:dyDescent="0.3">
      <c r="G114" t="s">
        <v>161</v>
      </c>
      <c r="H114" s="1">
        <v>600</v>
      </c>
      <c r="I114" s="1" t="s">
        <v>104</v>
      </c>
      <c r="J114" s="11">
        <v>45764</v>
      </c>
      <c r="K114" t="s">
        <v>161</v>
      </c>
    </row>
    <row r="115" spans="7:11" x14ac:dyDescent="0.3">
      <c r="G115" t="s">
        <v>185</v>
      </c>
      <c r="H115" s="1">
        <v>150</v>
      </c>
      <c r="I115" s="1" t="s">
        <v>104</v>
      </c>
      <c r="J115" s="11">
        <v>45764</v>
      </c>
      <c r="K115" t="s">
        <v>95</v>
      </c>
    </row>
    <row r="116" spans="7:11" x14ac:dyDescent="0.3">
      <c r="G116" t="s">
        <v>187</v>
      </c>
      <c r="H116" s="1">
        <v>180</v>
      </c>
      <c r="I116" s="1" t="s">
        <v>104</v>
      </c>
      <c r="J116" s="11">
        <v>45766</v>
      </c>
      <c r="K116" t="s">
        <v>96</v>
      </c>
    </row>
    <row r="117" spans="7:11" x14ac:dyDescent="0.3">
      <c r="G117" t="s">
        <v>189</v>
      </c>
      <c r="H117" s="1">
        <v>100</v>
      </c>
      <c r="I117" s="1" t="s">
        <v>104</v>
      </c>
      <c r="J117" s="11">
        <v>45769</v>
      </c>
      <c r="K117" t="s">
        <v>96</v>
      </c>
    </row>
    <row r="118" spans="7:11" x14ac:dyDescent="0.3">
      <c r="G118" t="s">
        <v>74</v>
      </c>
      <c r="H118" s="1">
        <v>360</v>
      </c>
      <c r="I118" s="1" t="s">
        <v>104</v>
      </c>
      <c r="J118" s="11">
        <v>45769</v>
      </c>
      <c r="K118" t="s">
        <v>90</v>
      </c>
    </row>
    <row r="119" spans="7:11" x14ac:dyDescent="0.3">
      <c r="G119" t="s">
        <v>191</v>
      </c>
      <c r="H119" s="1">
        <v>58</v>
      </c>
      <c r="I119" s="1" t="s">
        <v>104</v>
      </c>
      <c r="J119" s="11">
        <v>45770</v>
      </c>
      <c r="K119" t="s">
        <v>96</v>
      </c>
    </row>
    <row r="120" spans="7:11" x14ac:dyDescent="0.3">
      <c r="G120" t="s">
        <v>192</v>
      </c>
      <c r="H120" s="1">
        <v>7</v>
      </c>
      <c r="I120" s="1" t="s">
        <v>104</v>
      </c>
      <c r="J120" s="11">
        <v>45770</v>
      </c>
      <c r="K120" t="s">
        <v>96</v>
      </c>
    </row>
    <row r="121" spans="7:11" x14ac:dyDescent="0.3">
      <c r="G121" t="s">
        <v>193</v>
      </c>
      <c r="H121" s="1">
        <v>5</v>
      </c>
      <c r="I121" s="1" t="s">
        <v>104</v>
      </c>
      <c r="J121" s="11">
        <v>45770</v>
      </c>
      <c r="K121" t="s">
        <v>92</v>
      </c>
    </row>
    <row r="122" spans="7:11" x14ac:dyDescent="0.3">
      <c r="G122" t="s">
        <v>138</v>
      </c>
      <c r="H122" s="1">
        <v>420</v>
      </c>
      <c r="I122" s="1" t="s">
        <v>104</v>
      </c>
      <c r="J122" s="11">
        <v>45770</v>
      </c>
      <c r="K122" t="s">
        <v>90</v>
      </c>
    </row>
    <row r="123" spans="7:11" x14ac:dyDescent="0.3">
      <c r="G123" t="s">
        <v>117</v>
      </c>
      <c r="H123" s="1">
        <v>300</v>
      </c>
      <c r="I123" s="1" t="s">
        <v>104</v>
      </c>
      <c r="J123" s="11">
        <v>45770</v>
      </c>
      <c r="K123" t="s">
        <v>90</v>
      </c>
    </row>
    <row r="124" spans="7:11" x14ac:dyDescent="0.3">
      <c r="G124" t="s">
        <v>194</v>
      </c>
      <c r="H124" s="1">
        <v>65</v>
      </c>
      <c r="I124" s="1" t="s">
        <v>104</v>
      </c>
      <c r="J124" s="11">
        <v>45770</v>
      </c>
      <c r="K124" t="s">
        <v>97</v>
      </c>
    </row>
    <row r="125" spans="7:11" x14ac:dyDescent="0.3">
      <c r="G125" t="s">
        <v>190</v>
      </c>
      <c r="H125" s="1">
        <v>170</v>
      </c>
      <c r="I125" s="1" t="s">
        <v>104</v>
      </c>
      <c r="J125" s="11">
        <v>45770</v>
      </c>
      <c r="K125" t="s">
        <v>170</v>
      </c>
    </row>
    <row r="126" spans="7:11" x14ac:dyDescent="0.3">
      <c r="G126" t="s">
        <v>185</v>
      </c>
      <c r="H126" s="1">
        <v>100</v>
      </c>
      <c r="I126" s="1" t="s">
        <v>104</v>
      </c>
      <c r="J126" s="11">
        <v>45770</v>
      </c>
      <c r="K126" t="s">
        <v>95</v>
      </c>
    </row>
    <row r="127" spans="7:11" x14ac:dyDescent="0.3">
      <c r="G127" t="s">
        <v>49</v>
      </c>
      <c r="H127" s="1">
        <v>275</v>
      </c>
      <c r="I127" s="1" t="s">
        <v>104</v>
      </c>
      <c r="J127" s="11">
        <v>45770</v>
      </c>
      <c r="K127" t="s">
        <v>95</v>
      </c>
    </row>
    <row r="128" spans="7:11" x14ac:dyDescent="0.3">
      <c r="G128" t="s">
        <v>195</v>
      </c>
      <c r="H128" s="1">
        <v>40</v>
      </c>
      <c r="I128" s="1" t="s">
        <v>104</v>
      </c>
      <c r="J128" s="11">
        <v>45771</v>
      </c>
      <c r="K128" t="s">
        <v>91</v>
      </c>
    </row>
    <row r="129" spans="7:11" x14ac:dyDescent="0.3">
      <c r="G129" t="s">
        <v>196</v>
      </c>
      <c r="H129" s="1">
        <v>7.8</v>
      </c>
      <c r="I129" s="1" t="s">
        <v>104</v>
      </c>
      <c r="J129" s="11">
        <v>45771</v>
      </c>
      <c r="K129" t="s">
        <v>91</v>
      </c>
    </row>
    <row r="130" spans="7:11" x14ac:dyDescent="0.3">
      <c r="G130" t="s">
        <v>196</v>
      </c>
      <c r="H130" s="1">
        <v>216.58</v>
      </c>
      <c r="I130" s="1" t="s">
        <v>104</v>
      </c>
      <c r="J130" s="11">
        <v>45771</v>
      </c>
      <c r="K130" t="s">
        <v>91</v>
      </c>
    </row>
    <row r="131" spans="7:11" x14ac:dyDescent="0.3">
      <c r="G131" t="s">
        <v>195</v>
      </c>
      <c r="H131" s="1">
        <v>11.6</v>
      </c>
      <c r="I131" s="1" t="s">
        <v>104</v>
      </c>
      <c r="J131" s="11">
        <v>45771</v>
      </c>
      <c r="K131" t="s">
        <v>91</v>
      </c>
    </row>
    <row r="132" spans="7:11" x14ac:dyDescent="0.3">
      <c r="G132" t="s">
        <v>197</v>
      </c>
      <c r="H132" s="1">
        <v>2056.71</v>
      </c>
      <c r="I132" s="1" t="s">
        <v>104</v>
      </c>
      <c r="J132" s="11">
        <v>45771</v>
      </c>
      <c r="K132" t="s">
        <v>91</v>
      </c>
    </row>
    <row r="133" spans="7:11" x14ac:dyDescent="0.3">
      <c r="G133" t="s">
        <v>123</v>
      </c>
      <c r="H133" s="1">
        <v>40</v>
      </c>
      <c r="I133" s="1" t="s">
        <v>104</v>
      </c>
      <c r="J133" s="11">
        <v>45771</v>
      </c>
      <c r="K133" t="s">
        <v>95</v>
      </c>
    </row>
    <row r="134" spans="7:11" x14ac:dyDescent="0.3">
      <c r="G134" t="s">
        <v>143</v>
      </c>
      <c r="H134" s="1">
        <v>70</v>
      </c>
      <c r="I134" s="1" t="s">
        <v>104</v>
      </c>
      <c r="J134" s="11">
        <v>45772</v>
      </c>
      <c r="K134" t="s">
        <v>115</v>
      </c>
    </row>
    <row r="135" spans="7:11" x14ac:dyDescent="0.3">
      <c r="G135" t="s">
        <v>148</v>
      </c>
      <c r="H135" s="1">
        <v>220</v>
      </c>
      <c r="I135" s="1" t="s">
        <v>104</v>
      </c>
      <c r="J135" s="11">
        <v>45772</v>
      </c>
      <c r="K135" t="s">
        <v>96</v>
      </c>
    </row>
    <row r="136" spans="7:11" x14ac:dyDescent="0.3">
      <c r="G136" t="s">
        <v>33</v>
      </c>
      <c r="H136" s="1">
        <v>500</v>
      </c>
      <c r="I136" s="1" t="s">
        <v>104</v>
      </c>
      <c r="J136" s="11">
        <v>45772</v>
      </c>
      <c r="K136" t="s">
        <v>97</v>
      </c>
    </row>
    <row r="137" spans="7:11" x14ac:dyDescent="0.3">
      <c r="G137" t="s">
        <v>198</v>
      </c>
      <c r="H137" s="1">
        <v>50</v>
      </c>
      <c r="I137" s="1" t="s">
        <v>104</v>
      </c>
      <c r="J137" s="11">
        <v>45775</v>
      </c>
      <c r="K137" t="s">
        <v>90</v>
      </c>
    </row>
    <row r="138" spans="7:11" x14ac:dyDescent="0.3">
      <c r="G138" t="s">
        <v>79</v>
      </c>
      <c r="H138" s="1">
        <v>609.9</v>
      </c>
      <c r="I138" s="1" t="s">
        <v>104</v>
      </c>
      <c r="J138" s="11">
        <v>45775</v>
      </c>
      <c r="K138" t="s">
        <v>90</v>
      </c>
    </row>
    <row r="139" spans="7:11" x14ac:dyDescent="0.3">
      <c r="G139" t="s">
        <v>199</v>
      </c>
      <c r="H139" s="1">
        <v>750</v>
      </c>
      <c r="I139" s="1" t="s">
        <v>104</v>
      </c>
      <c r="J139" s="11">
        <v>45776</v>
      </c>
      <c r="K139" t="s">
        <v>160</v>
      </c>
    </row>
    <row r="140" spans="7:11" x14ac:dyDescent="0.3">
      <c r="G140" t="s">
        <v>181</v>
      </c>
      <c r="H140" s="1">
        <v>435</v>
      </c>
      <c r="I140" s="1" t="s">
        <v>104</v>
      </c>
      <c r="J140" s="11">
        <v>45776</v>
      </c>
      <c r="K140" t="s">
        <v>90</v>
      </c>
    </row>
    <row r="141" spans="7:11" x14ac:dyDescent="0.3">
      <c r="G141" t="s">
        <v>74</v>
      </c>
      <c r="H141" s="1">
        <v>840</v>
      </c>
      <c r="I141" s="1" t="s">
        <v>104</v>
      </c>
      <c r="J141" s="11">
        <v>45776</v>
      </c>
      <c r="K141" t="s">
        <v>90</v>
      </c>
    </row>
    <row r="142" spans="7:11" x14ac:dyDescent="0.3">
      <c r="G142" t="s">
        <v>123</v>
      </c>
      <c r="H142" s="1">
        <v>180</v>
      </c>
      <c r="I142" s="1" t="s">
        <v>104</v>
      </c>
      <c r="J142" s="11">
        <v>45776</v>
      </c>
      <c r="K142" t="s">
        <v>95</v>
      </c>
    </row>
    <row r="143" spans="7:11" x14ac:dyDescent="0.3">
      <c r="G143" t="s">
        <v>49</v>
      </c>
      <c r="H143" s="1">
        <v>165</v>
      </c>
      <c r="I143" s="1" t="s">
        <v>104</v>
      </c>
      <c r="J143" s="11">
        <v>45776</v>
      </c>
      <c r="K143" t="s">
        <v>95</v>
      </c>
    </row>
    <row r="144" spans="7:11" x14ac:dyDescent="0.3">
      <c r="G144" t="s">
        <v>20</v>
      </c>
      <c r="H144" s="1">
        <v>56</v>
      </c>
      <c r="I144" s="1" t="s">
        <v>104</v>
      </c>
      <c r="J144" s="11">
        <v>45777</v>
      </c>
      <c r="K144" t="s">
        <v>92</v>
      </c>
    </row>
    <row r="145" spans="7:11" x14ac:dyDescent="0.3">
      <c r="G145" t="s">
        <v>33</v>
      </c>
      <c r="H145" s="1">
        <v>1521</v>
      </c>
      <c r="I145" s="1" t="s">
        <v>104</v>
      </c>
      <c r="J145" s="11">
        <v>45777</v>
      </c>
      <c r="K145" t="s">
        <v>97</v>
      </c>
    </row>
    <row r="146" spans="7:11" x14ac:dyDescent="0.3">
      <c r="G146" t="s">
        <v>143</v>
      </c>
      <c r="H146" s="1">
        <v>20</v>
      </c>
      <c r="I146" s="1" t="s">
        <v>107</v>
      </c>
      <c r="J146" s="11">
        <v>45778</v>
      </c>
      <c r="K146" t="s">
        <v>115</v>
      </c>
    </row>
    <row r="147" spans="7:11" x14ac:dyDescent="0.3">
      <c r="G147" t="s">
        <v>155</v>
      </c>
      <c r="H147" s="1">
        <v>15</v>
      </c>
      <c r="I147" s="1" t="s">
        <v>107</v>
      </c>
      <c r="J147" s="11">
        <v>45778</v>
      </c>
      <c r="K147" t="s">
        <v>92</v>
      </c>
    </row>
    <row r="148" spans="7:11" x14ac:dyDescent="0.3">
      <c r="G148" t="s">
        <v>200</v>
      </c>
      <c r="H148" s="1">
        <v>940</v>
      </c>
      <c r="I148" s="1" t="s">
        <v>107</v>
      </c>
      <c r="J148" s="11">
        <v>45778</v>
      </c>
      <c r="K148" t="s">
        <v>90</v>
      </c>
    </row>
    <row r="149" spans="7:11" x14ac:dyDescent="0.3">
      <c r="G149" t="s">
        <v>201</v>
      </c>
      <c r="H149" s="1">
        <v>50</v>
      </c>
      <c r="I149" s="1" t="s">
        <v>107</v>
      </c>
      <c r="J149" s="11">
        <v>45778</v>
      </c>
      <c r="K149" t="s">
        <v>92</v>
      </c>
    </row>
    <row r="150" spans="7:11" x14ac:dyDescent="0.3">
      <c r="G150" t="s">
        <v>202</v>
      </c>
      <c r="H150" s="1">
        <v>572</v>
      </c>
      <c r="I150" s="1" t="s">
        <v>107</v>
      </c>
      <c r="J150" s="11">
        <v>45779</v>
      </c>
      <c r="K150" t="s">
        <v>92</v>
      </c>
    </row>
    <row r="151" spans="7:11" x14ac:dyDescent="0.3">
      <c r="G151" t="s">
        <v>203</v>
      </c>
      <c r="H151" s="1">
        <v>300</v>
      </c>
      <c r="I151" s="1" t="s">
        <v>107</v>
      </c>
      <c r="J151" s="11">
        <v>45779</v>
      </c>
      <c r="K151" t="s">
        <v>90</v>
      </c>
    </row>
    <row r="152" spans="7:11" x14ac:dyDescent="0.3">
      <c r="G152" t="s">
        <v>73</v>
      </c>
      <c r="H152" s="1">
        <v>430</v>
      </c>
      <c r="I152" s="1" t="s">
        <v>107</v>
      </c>
      <c r="J152" s="11">
        <v>45779</v>
      </c>
      <c r="K152" t="s">
        <v>90</v>
      </c>
    </row>
    <row r="153" spans="7:11" x14ac:dyDescent="0.3">
      <c r="G153" t="s">
        <v>204</v>
      </c>
      <c r="H153" s="1">
        <v>91.5</v>
      </c>
      <c r="I153" s="1" t="s">
        <v>107</v>
      </c>
      <c r="J153" s="11">
        <v>45779</v>
      </c>
      <c r="K153" t="s">
        <v>97</v>
      </c>
    </row>
    <row r="154" spans="7:11" x14ac:dyDescent="0.3">
      <c r="G154" t="s">
        <v>130</v>
      </c>
      <c r="H154" s="1">
        <v>1180</v>
      </c>
      <c r="I154" s="1" t="s">
        <v>107</v>
      </c>
      <c r="J154" s="11">
        <v>45779</v>
      </c>
      <c r="K154" t="s">
        <v>91</v>
      </c>
    </row>
    <row r="155" spans="7:11" x14ac:dyDescent="0.3">
      <c r="G155" t="s">
        <v>129</v>
      </c>
      <c r="H155" s="1">
        <v>2000</v>
      </c>
      <c r="I155" s="1" t="s">
        <v>107</v>
      </c>
      <c r="J155" s="11">
        <v>45779</v>
      </c>
      <c r="K155" t="s">
        <v>91</v>
      </c>
    </row>
    <row r="156" spans="7:11" x14ac:dyDescent="0.3">
      <c r="G156" t="s">
        <v>130</v>
      </c>
      <c r="H156" s="1">
        <v>1320</v>
      </c>
      <c r="I156" s="1" t="s">
        <v>107</v>
      </c>
      <c r="J156" s="11">
        <v>45779</v>
      </c>
      <c r="K156" t="s">
        <v>91</v>
      </c>
    </row>
    <row r="157" spans="7:11" x14ac:dyDescent="0.3">
      <c r="G157" t="s">
        <v>33</v>
      </c>
      <c r="H157" s="1">
        <v>644</v>
      </c>
      <c r="I157" s="1" t="s">
        <v>107</v>
      </c>
      <c r="J157" s="11">
        <v>45779</v>
      </c>
      <c r="K157" t="s">
        <v>97</v>
      </c>
    </row>
    <row r="158" spans="7:11" x14ac:dyDescent="0.3">
      <c r="G158" t="s">
        <v>123</v>
      </c>
      <c r="H158" s="1">
        <v>280</v>
      </c>
      <c r="I158" s="1" t="s">
        <v>107</v>
      </c>
      <c r="J158" s="11">
        <v>45779</v>
      </c>
      <c r="K158" t="s">
        <v>95</v>
      </c>
    </row>
    <row r="159" spans="7:11" x14ac:dyDescent="0.3">
      <c r="G159" t="s">
        <v>46</v>
      </c>
      <c r="H159" s="1">
        <v>110</v>
      </c>
      <c r="I159" s="1" t="s">
        <v>107</v>
      </c>
      <c r="J159" s="11">
        <v>45780</v>
      </c>
      <c r="K159" t="s">
        <v>92</v>
      </c>
    </row>
    <row r="160" spans="7:11" x14ac:dyDescent="0.3">
      <c r="G160" t="s">
        <v>205</v>
      </c>
      <c r="H160" s="1">
        <v>205</v>
      </c>
      <c r="I160" s="1" t="s">
        <v>107</v>
      </c>
      <c r="J160" s="11">
        <v>45780</v>
      </c>
      <c r="K160" t="s">
        <v>205</v>
      </c>
    </row>
    <row r="161" spans="7:11" x14ac:dyDescent="0.3">
      <c r="G161" t="s">
        <v>206</v>
      </c>
      <c r="H161" s="1">
        <v>50</v>
      </c>
      <c r="I161" s="1" t="s">
        <v>107</v>
      </c>
      <c r="J161" s="11">
        <v>45780</v>
      </c>
      <c r="K161" t="s">
        <v>90</v>
      </c>
    </row>
    <row r="162" spans="7:11" x14ac:dyDescent="0.3">
      <c r="G162" t="s">
        <v>132</v>
      </c>
      <c r="H162" s="1">
        <v>200</v>
      </c>
      <c r="I162" s="1" t="s">
        <v>107</v>
      </c>
      <c r="J162" s="11">
        <v>45780</v>
      </c>
      <c r="K162" t="s">
        <v>90</v>
      </c>
    </row>
    <row r="163" spans="7:11" x14ac:dyDescent="0.3">
      <c r="G163" t="s">
        <v>58</v>
      </c>
      <c r="H163" s="1">
        <v>200</v>
      </c>
      <c r="I163" s="1" t="s">
        <v>107</v>
      </c>
      <c r="J163" s="11">
        <v>45780</v>
      </c>
      <c r="K163" t="s">
        <v>97</v>
      </c>
    </row>
    <row r="164" spans="7:11" x14ac:dyDescent="0.3">
      <c r="G164" t="s">
        <v>207</v>
      </c>
      <c r="H164" s="1">
        <v>350</v>
      </c>
      <c r="I164" s="1" t="s">
        <v>107</v>
      </c>
      <c r="J164" s="11">
        <v>45782</v>
      </c>
      <c r="K164" t="s">
        <v>91</v>
      </c>
    </row>
    <row r="165" spans="7:11" x14ac:dyDescent="0.3">
      <c r="G165" t="s">
        <v>208</v>
      </c>
      <c r="H165" s="1">
        <v>231.38</v>
      </c>
      <c r="I165" s="1" t="s">
        <v>107</v>
      </c>
      <c r="J165" s="11">
        <v>45782</v>
      </c>
      <c r="K165" t="s">
        <v>91</v>
      </c>
    </row>
    <row r="166" spans="7:11" x14ac:dyDescent="0.3">
      <c r="G166" t="s">
        <v>209</v>
      </c>
      <c r="H166" s="1">
        <v>2512.5</v>
      </c>
      <c r="I166" s="1" t="s">
        <v>107</v>
      </c>
      <c r="J166" s="11">
        <v>45782</v>
      </c>
      <c r="K166" t="s">
        <v>90</v>
      </c>
    </row>
    <row r="167" spans="7:11" x14ac:dyDescent="0.3">
      <c r="G167" t="s">
        <v>123</v>
      </c>
      <c r="H167" s="1">
        <v>200</v>
      </c>
      <c r="I167" s="1" t="s">
        <v>107</v>
      </c>
      <c r="J167" s="11">
        <v>45782</v>
      </c>
      <c r="K167" t="s">
        <v>95</v>
      </c>
    </row>
    <row r="168" spans="7:11" x14ac:dyDescent="0.3">
      <c r="G168" t="s">
        <v>143</v>
      </c>
      <c r="H168" s="1">
        <v>5</v>
      </c>
      <c r="I168" s="1" t="s">
        <v>107</v>
      </c>
      <c r="J168" s="11">
        <v>45783</v>
      </c>
      <c r="K168" t="s">
        <v>115</v>
      </c>
    </row>
    <row r="169" spans="7:11" x14ac:dyDescent="0.3">
      <c r="G169" t="s">
        <v>213</v>
      </c>
      <c r="H169" s="1">
        <v>668.5</v>
      </c>
      <c r="I169" s="1" t="s">
        <v>107</v>
      </c>
      <c r="J169" s="11">
        <v>45783</v>
      </c>
      <c r="K169" t="s">
        <v>96</v>
      </c>
    </row>
    <row r="170" spans="7:11" x14ac:dyDescent="0.3">
      <c r="G170" t="s">
        <v>200</v>
      </c>
      <c r="H170" s="1">
        <v>675</v>
      </c>
      <c r="I170" s="1" t="s">
        <v>107</v>
      </c>
      <c r="J170" s="11">
        <v>45783</v>
      </c>
      <c r="K170" t="s">
        <v>90</v>
      </c>
    </row>
    <row r="171" spans="7:11" x14ac:dyDescent="0.3">
      <c r="G171" t="s">
        <v>77</v>
      </c>
      <c r="H171" s="1">
        <v>300</v>
      </c>
      <c r="I171" s="1" t="s">
        <v>107</v>
      </c>
      <c r="J171" s="11">
        <v>45783</v>
      </c>
      <c r="K171" t="s">
        <v>90</v>
      </c>
    </row>
    <row r="172" spans="7:11" x14ac:dyDescent="0.3">
      <c r="G172" t="s">
        <v>79</v>
      </c>
      <c r="H172" s="1">
        <v>650</v>
      </c>
      <c r="I172" s="1" t="s">
        <v>107</v>
      </c>
      <c r="J172" s="11">
        <v>45783</v>
      </c>
      <c r="K172" t="s">
        <v>90</v>
      </c>
    </row>
    <row r="173" spans="7:11" x14ac:dyDescent="0.3">
      <c r="G173" t="s">
        <v>214</v>
      </c>
      <c r="H173" s="1">
        <v>1500</v>
      </c>
      <c r="I173" s="1" t="s">
        <v>107</v>
      </c>
      <c r="J173" s="11">
        <v>45784</v>
      </c>
      <c r="K173" t="s">
        <v>90</v>
      </c>
    </row>
    <row r="174" spans="7:11" x14ac:dyDescent="0.3">
      <c r="G174" t="s">
        <v>138</v>
      </c>
      <c r="H174" s="1">
        <v>840</v>
      </c>
      <c r="I174" s="1" t="s">
        <v>107</v>
      </c>
      <c r="J174" s="11">
        <v>45784</v>
      </c>
      <c r="K174" t="s">
        <v>90</v>
      </c>
    </row>
    <row r="175" spans="7:11" x14ac:dyDescent="0.3">
      <c r="G175" t="s">
        <v>58</v>
      </c>
      <c r="H175" s="1">
        <v>172.5</v>
      </c>
      <c r="I175" s="1" t="s">
        <v>107</v>
      </c>
      <c r="J175" s="11">
        <v>45784</v>
      </c>
      <c r="K175" t="s">
        <v>97</v>
      </c>
    </row>
    <row r="176" spans="7:11" x14ac:dyDescent="0.3">
      <c r="G176" t="s">
        <v>215</v>
      </c>
      <c r="H176" s="1">
        <v>100</v>
      </c>
      <c r="I176" s="1" t="s">
        <v>107</v>
      </c>
      <c r="J176" s="11">
        <v>45785</v>
      </c>
      <c r="K176" t="s">
        <v>90</v>
      </c>
    </row>
    <row r="177" spans="7:11" x14ac:dyDescent="0.3">
      <c r="G177" t="s">
        <v>216</v>
      </c>
      <c r="H177" s="1">
        <v>450</v>
      </c>
      <c r="I177" s="1" t="s">
        <v>107</v>
      </c>
      <c r="J177" s="11">
        <v>45785</v>
      </c>
      <c r="K177" t="s">
        <v>90</v>
      </c>
    </row>
    <row r="178" spans="7:11" x14ac:dyDescent="0.3">
      <c r="G178" t="s">
        <v>80</v>
      </c>
      <c r="H178" s="1">
        <v>350</v>
      </c>
      <c r="I178" s="1" t="s">
        <v>107</v>
      </c>
      <c r="J178" s="11">
        <v>45785</v>
      </c>
      <c r="K178" t="s">
        <v>95</v>
      </c>
    </row>
    <row r="179" spans="7:11" x14ac:dyDescent="0.3">
      <c r="G179" t="s">
        <v>49</v>
      </c>
      <c r="H179" s="1">
        <v>320</v>
      </c>
      <c r="I179" s="1" t="s">
        <v>107</v>
      </c>
      <c r="J179" s="11">
        <v>45785</v>
      </c>
      <c r="K179" t="s">
        <v>95</v>
      </c>
    </row>
    <row r="180" spans="7:11" x14ac:dyDescent="0.3">
      <c r="G180" t="s">
        <v>60</v>
      </c>
      <c r="H180" s="1">
        <v>117.93</v>
      </c>
      <c r="I180" s="1" t="s">
        <v>107</v>
      </c>
      <c r="J180" s="11">
        <v>45786</v>
      </c>
      <c r="K180" t="s">
        <v>92</v>
      </c>
    </row>
    <row r="181" spans="7:11" x14ac:dyDescent="0.3">
      <c r="G181" t="s">
        <v>149</v>
      </c>
      <c r="H181" s="1">
        <v>560</v>
      </c>
      <c r="I181" s="1" t="s">
        <v>107</v>
      </c>
      <c r="J181" s="11">
        <v>45786</v>
      </c>
      <c r="K181" t="s">
        <v>210</v>
      </c>
    </row>
    <row r="182" spans="7:11" x14ac:dyDescent="0.3">
      <c r="G182" t="s">
        <v>218</v>
      </c>
      <c r="H182" s="1">
        <v>2483.2600000000002</v>
      </c>
      <c r="I182" s="1" t="s">
        <v>107</v>
      </c>
      <c r="J182" s="11">
        <v>45786</v>
      </c>
      <c r="K182" t="s">
        <v>219</v>
      </c>
    </row>
    <row r="183" spans="7:11" x14ac:dyDescent="0.3">
      <c r="G183" t="s">
        <v>73</v>
      </c>
      <c r="H183" s="1">
        <v>930</v>
      </c>
      <c r="I183" s="1" t="s">
        <v>107</v>
      </c>
      <c r="J183" s="11">
        <v>45786</v>
      </c>
      <c r="K183" t="s">
        <v>90</v>
      </c>
    </row>
    <row r="184" spans="7:11" x14ac:dyDescent="0.3">
      <c r="G184" t="s">
        <v>33</v>
      </c>
      <c r="H184" s="1">
        <v>645</v>
      </c>
      <c r="I184" s="1" t="s">
        <v>107</v>
      </c>
      <c r="J184" s="11">
        <v>45786</v>
      </c>
      <c r="K184" t="s">
        <v>97</v>
      </c>
    </row>
    <row r="185" spans="7:11" x14ac:dyDescent="0.3">
      <c r="G185" t="s">
        <v>217</v>
      </c>
      <c r="H185" s="1">
        <v>400</v>
      </c>
      <c r="I185" s="1" t="s">
        <v>107</v>
      </c>
      <c r="J185" s="11">
        <v>45786</v>
      </c>
      <c r="K185" t="s">
        <v>95</v>
      </c>
    </row>
    <row r="186" spans="7:11" x14ac:dyDescent="0.3">
      <c r="G186" t="s">
        <v>132</v>
      </c>
      <c r="H186" s="1">
        <v>140</v>
      </c>
      <c r="I186" s="1" t="s">
        <v>107</v>
      </c>
      <c r="J186" s="11">
        <v>45787</v>
      </c>
      <c r="K186" t="s">
        <v>90</v>
      </c>
    </row>
    <row r="187" spans="7:11" x14ac:dyDescent="0.3">
      <c r="G187" t="s">
        <v>206</v>
      </c>
      <c r="H187" s="1">
        <v>140</v>
      </c>
      <c r="I187" s="1" t="s">
        <v>107</v>
      </c>
      <c r="J187" s="11">
        <v>45787</v>
      </c>
      <c r="K187" t="s">
        <v>90</v>
      </c>
    </row>
    <row r="188" spans="7:11" x14ac:dyDescent="0.3">
      <c r="G188" t="s">
        <v>220</v>
      </c>
      <c r="H188" s="1">
        <v>920</v>
      </c>
      <c r="I188" s="1" t="s">
        <v>107</v>
      </c>
      <c r="J188" s="11">
        <v>45787</v>
      </c>
      <c r="K188" t="s">
        <v>90</v>
      </c>
    </row>
    <row r="189" spans="7:11" x14ac:dyDescent="0.3">
      <c r="G189" t="s">
        <v>221</v>
      </c>
      <c r="H189" s="1">
        <v>300</v>
      </c>
      <c r="I189" s="1" t="s">
        <v>107</v>
      </c>
      <c r="J189" s="11">
        <v>45787</v>
      </c>
      <c r="K189" t="s">
        <v>90</v>
      </c>
    </row>
    <row r="190" spans="7:11" x14ac:dyDescent="0.3">
      <c r="G190" t="s">
        <v>143</v>
      </c>
      <c r="H190" s="1">
        <v>20</v>
      </c>
      <c r="I190" s="1" t="s">
        <v>107</v>
      </c>
      <c r="J190" s="11">
        <v>45787</v>
      </c>
      <c r="K190" t="s">
        <v>115</v>
      </c>
    </row>
    <row r="191" spans="7:11" x14ac:dyDescent="0.3">
      <c r="G191" t="s">
        <v>149</v>
      </c>
      <c r="H191" s="1">
        <v>285</v>
      </c>
      <c r="I191" s="1" t="s">
        <v>107</v>
      </c>
      <c r="J191" s="11">
        <v>45789</v>
      </c>
      <c r="K191" t="s">
        <v>210</v>
      </c>
    </row>
    <row r="192" spans="7:11" x14ac:dyDescent="0.3">
      <c r="G192" t="s">
        <v>137</v>
      </c>
      <c r="H192" s="1">
        <v>2500</v>
      </c>
      <c r="I192" s="1" t="s">
        <v>107</v>
      </c>
      <c r="J192" s="11">
        <v>45789</v>
      </c>
      <c r="K192" t="s">
        <v>211</v>
      </c>
    </row>
    <row r="193" spans="7:11" x14ac:dyDescent="0.3">
      <c r="G193" t="s">
        <v>143</v>
      </c>
      <c r="H193" s="1">
        <v>20</v>
      </c>
      <c r="I193" s="1" t="s">
        <v>107</v>
      </c>
      <c r="J193" s="11">
        <v>45789</v>
      </c>
      <c r="K193" t="s">
        <v>115</v>
      </c>
    </row>
    <row r="194" spans="7:11" x14ac:dyDescent="0.3">
      <c r="G194" t="s">
        <v>60</v>
      </c>
      <c r="H194" s="1">
        <v>20</v>
      </c>
      <c r="I194" s="1" t="s">
        <v>107</v>
      </c>
      <c r="J194" s="11">
        <v>45789</v>
      </c>
      <c r="K194" t="s">
        <v>92</v>
      </c>
    </row>
    <row r="195" spans="7:11" x14ac:dyDescent="0.3">
      <c r="G195" t="s">
        <v>223</v>
      </c>
      <c r="H195" s="1">
        <v>378.1</v>
      </c>
      <c r="I195" s="1" t="s">
        <v>107</v>
      </c>
      <c r="J195" s="11">
        <v>45789</v>
      </c>
      <c r="K195" t="s">
        <v>92</v>
      </c>
    </row>
    <row r="196" spans="7:11" x14ac:dyDescent="0.3">
      <c r="G196" t="s">
        <v>49</v>
      </c>
      <c r="H196" s="1">
        <v>110</v>
      </c>
      <c r="I196" s="1" t="s">
        <v>107</v>
      </c>
      <c r="J196" s="11">
        <v>45789</v>
      </c>
      <c r="K196" t="s">
        <v>95</v>
      </c>
    </row>
    <row r="197" spans="7:11" x14ac:dyDescent="0.3">
      <c r="G197" t="s">
        <v>215</v>
      </c>
      <c r="H197" s="1">
        <v>100</v>
      </c>
      <c r="I197" s="1" t="s">
        <v>107</v>
      </c>
      <c r="J197" s="11">
        <v>45790</v>
      </c>
      <c r="K197" t="s">
        <v>90</v>
      </c>
    </row>
    <row r="198" spans="7:11" x14ac:dyDescent="0.3">
      <c r="G198" t="s">
        <v>203</v>
      </c>
      <c r="H198" s="1">
        <v>300</v>
      </c>
      <c r="I198" s="1" t="s">
        <v>107</v>
      </c>
      <c r="J198" s="11">
        <v>45790</v>
      </c>
      <c r="K198" t="s">
        <v>90</v>
      </c>
    </row>
    <row r="199" spans="7:11" x14ac:dyDescent="0.3">
      <c r="G199" t="s">
        <v>181</v>
      </c>
      <c r="H199" s="1">
        <v>850</v>
      </c>
      <c r="I199" s="1" t="s">
        <v>107</v>
      </c>
      <c r="J199" s="11">
        <v>45790</v>
      </c>
      <c r="K199" t="s">
        <v>90</v>
      </c>
    </row>
    <row r="200" spans="7:11" x14ac:dyDescent="0.3">
      <c r="G200" t="s">
        <v>224</v>
      </c>
      <c r="H200" s="1">
        <v>240.4</v>
      </c>
      <c r="I200" s="1" t="s">
        <v>107</v>
      </c>
      <c r="J200" s="11">
        <v>45791</v>
      </c>
      <c r="K200" t="s">
        <v>96</v>
      </c>
    </row>
    <row r="201" spans="7:11" x14ac:dyDescent="0.3">
      <c r="G201" t="s">
        <v>225</v>
      </c>
      <c r="H201" s="1">
        <v>1200</v>
      </c>
      <c r="I201" s="1" t="s">
        <v>107</v>
      </c>
      <c r="J201" s="11">
        <v>45791</v>
      </c>
      <c r="K201" t="s">
        <v>91</v>
      </c>
    </row>
    <row r="202" spans="7:11" x14ac:dyDescent="0.3">
      <c r="G202" t="s">
        <v>227</v>
      </c>
      <c r="H202" s="1">
        <v>680</v>
      </c>
      <c r="I202" s="1" t="s">
        <v>107</v>
      </c>
      <c r="J202" s="11">
        <v>45791</v>
      </c>
      <c r="K202" t="s">
        <v>90</v>
      </c>
    </row>
    <row r="203" spans="7:11" x14ac:dyDescent="0.3">
      <c r="G203" t="s">
        <v>116</v>
      </c>
      <c r="H203" s="1">
        <v>540</v>
      </c>
      <c r="I203" s="1" t="s">
        <v>107</v>
      </c>
      <c r="J203" s="11">
        <v>45791</v>
      </c>
      <c r="K203" t="s">
        <v>90</v>
      </c>
    </row>
    <row r="204" spans="7:11" x14ac:dyDescent="0.3">
      <c r="G204" t="s">
        <v>79</v>
      </c>
      <c r="H204" s="1">
        <v>700</v>
      </c>
      <c r="I204" s="1" t="s">
        <v>107</v>
      </c>
      <c r="J204" s="11">
        <v>45791</v>
      </c>
      <c r="K204" t="s">
        <v>90</v>
      </c>
    </row>
    <row r="205" spans="7:11" x14ac:dyDescent="0.3">
      <c r="G205" t="s">
        <v>226</v>
      </c>
      <c r="H205" s="1">
        <v>2400</v>
      </c>
      <c r="I205" s="1" t="s">
        <v>107</v>
      </c>
      <c r="J205" s="11">
        <v>45791</v>
      </c>
      <c r="K205" t="s">
        <v>97</v>
      </c>
    </row>
    <row r="206" spans="7:11" x14ac:dyDescent="0.3">
      <c r="G206" t="s">
        <v>123</v>
      </c>
      <c r="H206" s="1">
        <v>40</v>
      </c>
      <c r="I206" s="1" t="s">
        <v>107</v>
      </c>
      <c r="J206" s="11">
        <v>45791</v>
      </c>
      <c r="K206" t="s">
        <v>95</v>
      </c>
    </row>
    <row r="207" spans="7:11" x14ac:dyDescent="0.3">
      <c r="G207" t="s">
        <v>228</v>
      </c>
      <c r="H207" s="1">
        <v>3742.5</v>
      </c>
      <c r="I207" s="1" t="s">
        <v>107</v>
      </c>
      <c r="J207" s="11">
        <v>45792</v>
      </c>
      <c r="K207" t="s">
        <v>94</v>
      </c>
    </row>
    <row r="208" spans="7:11" x14ac:dyDescent="0.3">
      <c r="G208" t="s">
        <v>229</v>
      </c>
      <c r="H208" s="1">
        <v>270</v>
      </c>
      <c r="I208" s="1" t="s">
        <v>107</v>
      </c>
      <c r="J208" s="11">
        <v>45793</v>
      </c>
      <c r="K208" t="s">
        <v>95</v>
      </c>
    </row>
    <row r="209" spans="7:11" x14ac:dyDescent="0.3">
      <c r="G209" t="s">
        <v>132</v>
      </c>
      <c r="H209" s="1">
        <v>50</v>
      </c>
      <c r="I209" s="1" t="s">
        <v>107</v>
      </c>
      <c r="J209" s="11">
        <v>45793</v>
      </c>
      <c r="K209" t="s">
        <v>90</v>
      </c>
    </row>
    <row r="210" spans="7:11" x14ac:dyDescent="0.3">
      <c r="G210" t="s">
        <v>73</v>
      </c>
      <c r="H210" s="1">
        <v>350</v>
      </c>
      <c r="I210" s="1" t="s">
        <v>107</v>
      </c>
      <c r="J210" s="11">
        <v>45793</v>
      </c>
      <c r="K210" t="s">
        <v>90</v>
      </c>
    </row>
    <row r="211" spans="7:11" x14ac:dyDescent="0.3">
      <c r="G211" t="s">
        <v>61</v>
      </c>
      <c r="H211" s="1">
        <v>1000</v>
      </c>
      <c r="I211" s="1" t="s">
        <v>107</v>
      </c>
      <c r="J211" s="11">
        <v>45793</v>
      </c>
      <c r="K211" t="s">
        <v>61</v>
      </c>
    </row>
    <row r="212" spans="7:11" x14ac:dyDescent="0.3">
      <c r="G212" t="s">
        <v>183</v>
      </c>
      <c r="H212" s="1">
        <v>200</v>
      </c>
      <c r="I212" s="1" t="s">
        <v>107</v>
      </c>
      <c r="J212" s="11">
        <v>45793</v>
      </c>
      <c r="K212" t="s">
        <v>230</v>
      </c>
    </row>
    <row r="213" spans="7:11" x14ac:dyDescent="0.3">
      <c r="G213" t="s">
        <v>220</v>
      </c>
      <c r="H213" s="1">
        <v>300</v>
      </c>
      <c r="I213" s="1" t="s">
        <v>107</v>
      </c>
      <c r="J213" s="11">
        <v>45795</v>
      </c>
      <c r="K213" t="s">
        <v>90</v>
      </c>
    </row>
    <row r="214" spans="7:11" x14ac:dyDescent="0.3">
      <c r="G214" t="s">
        <v>205</v>
      </c>
      <c r="H214" s="1">
        <v>170</v>
      </c>
      <c r="I214" s="1" t="s">
        <v>107</v>
      </c>
      <c r="J214" s="11">
        <v>45795</v>
      </c>
      <c r="K214" t="s">
        <v>205</v>
      </c>
    </row>
    <row r="215" spans="7:11" x14ac:dyDescent="0.3">
      <c r="G215" t="s">
        <v>152</v>
      </c>
      <c r="H215" s="1">
        <v>5500</v>
      </c>
      <c r="I215" s="1" t="s">
        <v>107</v>
      </c>
      <c r="J215" s="11">
        <v>45795</v>
      </c>
      <c r="K215" t="s">
        <v>212</v>
      </c>
    </row>
    <row r="216" spans="7:11" x14ac:dyDescent="0.3">
      <c r="G216" t="s">
        <v>143</v>
      </c>
      <c r="H216" s="1">
        <v>1.1000000000000001</v>
      </c>
      <c r="I216" s="1" t="s">
        <v>222</v>
      </c>
      <c r="J216" s="11">
        <v>45796</v>
      </c>
      <c r="K216" t="s">
        <v>115</v>
      </c>
    </row>
    <row r="217" spans="7:11" x14ac:dyDescent="0.3">
      <c r="G217" t="s">
        <v>65</v>
      </c>
      <c r="H217" s="1">
        <v>1250</v>
      </c>
      <c r="I217" s="1" t="s">
        <v>222</v>
      </c>
      <c r="J217" s="11">
        <v>45796</v>
      </c>
      <c r="K217" t="s">
        <v>90</v>
      </c>
    </row>
    <row r="218" spans="7:11" x14ac:dyDescent="0.3">
      <c r="G218" t="s">
        <v>231</v>
      </c>
      <c r="H218" s="1">
        <v>650</v>
      </c>
      <c r="I218" s="1" t="s">
        <v>222</v>
      </c>
      <c r="J218" s="11">
        <v>45796</v>
      </c>
      <c r="K218" t="s">
        <v>232</v>
      </c>
    </row>
    <row r="219" spans="7:11" x14ac:dyDescent="0.3">
      <c r="G219" t="s">
        <v>8</v>
      </c>
      <c r="H219" s="1">
        <v>5000</v>
      </c>
      <c r="I219" s="1" t="s">
        <v>222</v>
      </c>
      <c r="J219" s="11">
        <v>45796</v>
      </c>
      <c r="K219" t="s">
        <v>2</v>
      </c>
    </row>
    <row r="220" spans="7:11" x14ac:dyDescent="0.3">
      <c r="G220" t="s">
        <v>199</v>
      </c>
      <c r="H220" s="1">
        <v>1500</v>
      </c>
      <c r="I220" s="1" t="s">
        <v>222</v>
      </c>
      <c r="J220" s="11">
        <v>45796</v>
      </c>
      <c r="K220" t="s">
        <v>160</v>
      </c>
    </row>
    <row r="221" spans="7:11" x14ac:dyDescent="0.3">
      <c r="G221" t="s">
        <v>123</v>
      </c>
      <c r="H221" s="1">
        <v>40</v>
      </c>
      <c r="I221" s="1" t="s">
        <v>222</v>
      </c>
      <c r="J221" s="11">
        <v>45796</v>
      </c>
      <c r="K221" t="s">
        <v>95</v>
      </c>
    </row>
    <row r="222" spans="7:11" x14ac:dyDescent="0.3">
      <c r="G222" t="s">
        <v>49</v>
      </c>
      <c r="H222" s="1">
        <v>110</v>
      </c>
      <c r="I222" s="1" t="s">
        <v>222</v>
      </c>
      <c r="J222" s="11">
        <v>45796</v>
      </c>
      <c r="K222" t="s">
        <v>95</v>
      </c>
    </row>
    <row r="223" spans="7:11" x14ac:dyDescent="0.3">
      <c r="G223" t="s">
        <v>233</v>
      </c>
      <c r="H223" s="1">
        <v>75</v>
      </c>
      <c r="I223" s="1" t="s">
        <v>222</v>
      </c>
      <c r="J223" s="11">
        <v>45797</v>
      </c>
      <c r="K223" t="s">
        <v>95</v>
      </c>
    </row>
    <row r="224" spans="7:11" x14ac:dyDescent="0.3">
      <c r="G224" t="s">
        <v>218</v>
      </c>
      <c r="H224" s="1">
        <v>219.17</v>
      </c>
      <c r="I224" s="1" t="s">
        <v>222</v>
      </c>
      <c r="J224" s="11">
        <v>45797</v>
      </c>
      <c r="K224" t="s">
        <v>219</v>
      </c>
    </row>
    <row r="225" spans="7:11" x14ac:dyDescent="0.3">
      <c r="G225" t="s">
        <v>79</v>
      </c>
      <c r="H225" s="1">
        <v>860</v>
      </c>
      <c r="I225" s="1" t="s">
        <v>222</v>
      </c>
      <c r="J225" s="11">
        <v>45797</v>
      </c>
      <c r="K225" t="s">
        <v>90</v>
      </c>
    </row>
    <row r="226" spans="7:11" x14ac:dyDescent="0.3">
      <c r="G226" t="s">
        <v>200</v>
      </c>
      <c r="H226" s="1">
        <v>1065</v>
      </c>
      <c r="I226" s="1" t="s">
        <v>222</v>
      </c>
      <c r="J226" s="11">
        <v>45797</v>
      </c>
      <c r="K226" t="s">
        <v>90</v>
      </c>
    </row>
    <row r="227" spans="7:11" x14ac:dyDescent="0.3">
      <c r="G227" t="s">
        <v>80</v>
      </c>
      <c r="H227" s="1">
        <v>350</v>
      </c>
      <c r="I227" s="1" t="s">
        <v>222</v>
      </c>
      <c r="J227" s="11">
        <v>45797</v>
      </c>
      <c r="K227" t="s">
        <v>95</v>
      </c>
    </row>
    <row r="228" spans="7:11" x14ac:dyDescent="0.3">
      <c r="G228" t="s">
        <v>80</v>
      </c>
      <c r="H228" s="1">
        <v>75</v>
      </c>
      <c r="I228" s="1" t="s">
        <v>222</v>
      </c>
      <c r="J228" s="11">
        <v>45797</v>
      </c>
      <c r="K228" t="s">
        <v>95</v>
      </c>
    </row>
    <row r="229" spans="7:11" x14ac:dyDescent="0.3">
      <c r="G229" t="s">
        <v>35</v>
      </c>
      <c r="H229" s="1">
        <v>212</v>
      </c>
      <c r="I229" s="1" t="s">
        <v>222</v>
      </c>
      <c r="J229" s="11">
        <v>45798</v>
      </c>
      <c r="K229" t="s">
        <v>96</v>
      </c>
    </row>
    <row r="230" spans="7:11" x14ac:dyDescent="0.3">
      <c r="G230" t="s">
        <v>234</v>
      </c>
      <c r="H230" s="1">
        <v>1200</v>
      </c>
      <c r="I230" s="1" t="s">
        <v>222</v>
      </c>
      <c r="J230" s="11">
        <v>45798</v>
      </c>
      <c r="K230" t="s">
        <v>90</v>
      </c>
    </row>
    <row r="231" spans="7:11" x14ac:dyDescent="0.3">
      <c r="G231" t="s">
        <v>215</v>
      </c>
      <c r="H231" s="1">
        <v>100</v>
      </c>
      <c r="I231" s="1" t="s">
        <v>222</v>
      </c>
      <c r="J231" s="11">
        <v>45798</v>
      </c>
      <c r="K231" t="s">
        <v>90</v>
      </c>
    </row>
    <row r="232" spans="7:11" x14ac:dyDescent="0.3">
      <c r="G232" t="s">
        <v>190</v>
      </c>
      <c r="H232" s="1">
        <v>170</v>
      </c>
      <c r="I232" s="1" t="s">
        <v>222</v>
      </c>
      <c r="J232" s="11">
        <v>45798</v>
      </c>
      <c r="K232" t="s">
        <v>170</v>
      </c>
    </row>
    <row r="233" spans="7:11" x14ac:dyDescent="0.3">
      <c r="G233" t="s">
        <v>143</v>
      </c>
      <c r="H233" s="1">
        <v>71.75</v>
      </c>
      <c r="I233" s="1" t="s">
        <v>222</v>
      </c>
      <c r="J233" s="11">
        <v>45799</v>
      </c>
      <c r="K233" t="s">
        <v>143</v>
      </c>
    </row>
    <row r="234" spans="7:11" x14ac:dyDescent="0.3">
      <c r="G234" t="s">
        <v>149</v>
      </c>
      <c r="H234" s="1">
        <v>5.5</v>
      </c>
      <c r="I234" s="1" t="s">
        <v>222</v>
      </c>
      <c r="J234" s="11">
        <v>45799</v>
      </c>
      <c r="K234" t="s">
        <v>210</v>
      </c>
    </row>
    <row r="235" spans="7:11" x14ac:dyDescent="0.3">
      <c r="G235" t="s">
        <v>199</v>
      </c>
      <c r="H235" s="1">
        <v>700</v>
      </c>
      <c r="I235" s="1" t="s">
        <v>222</v>
      </c>
      <c r="J235" s="11">
        <v>45799</v>
      </c>
      <c r="K235" t="s">
        <v>160</v>
      </c>
    </row>
    <row r="236" spans="7:11" x14ac:dyDescent="0.3">
      <c r="G236" t="s">
        <v>235</v>
      </c>
      <c r="H236" s="1">
        <v>1270</v>
      </c>
      <c r="I236" s="1" t="s">
        <v>222</v>
      </c>
      <c r="J236" s="11">
        <v>45800</v>
      </c>
      <c r="K236" t="s">
        <v>90</v>
      </c>
    </row>
    <row r="237" spans="7:11" x14ac:dyDescent="0.3">
      <c r="G237" t="s">
        <v>60</v>
      </c>
      <c r="H237" s="1">
        <v>15</v>
      </c>
      <c r="I237" s="1" t="s">
        <v>222</v>
      </c>
      <c r="J237" s="11">
        <v>45800</v>
      </c>
      <c r="K237" t="s">
        <v>92</v>
      </c>
    </row>
    <row r="238" spans="7:11" x14ac:dyDescent="0.3">
      <c r="G238" t="s">
        <v>20</v>
      </c>
      <c r="H238" s="1">
        <v>20.6</v>
      </c>
      <c r="I238" s="1" t="s">
        <v>222</v>
      </c>
      <c r="J238" s="11">
        <v>45800</v>
      </c>
      <c r="K238" t="s">
        <v>92</v>
      </c>
    </row>
    <row r="239" spans="7:11" x14ac:dyDescent="0.3">
      <c r="G239" t="s">
        <v>33</v>
      </c>
      <c r="H239" s="1">
        <v>650</v>
      </c>
      <c r="I239" s="1" t="s">
        <v>222</v>
      </c>
      <c r="J239" s="11">
        <v>45800</v>
      </c>
      <c r="K239" t="s">
        <v>97</v>
      </c>
    </row>
    <row r="240" spans="7:11" x14ac:dyDescent="0.3">
      <c r="G240" t="s">
        <v>80</v>
      </c>
      <c r="H240" s="1">
        <v>70</v>
      </c>
      <c r="I240" s="1" t="s">
        <v>222</v>
      </c>
      <c r="J240" s="11">
        <v>45800</v>
      </c>
      <c r="K240" t="s">
        <v>95</v>
      </c>
    </row>
    <row r="241" spans="7:11" x14ac:dyDescent="0.3">
      <c r="G241" t="s">
        <v>132</v>
      </c>
      <c r="H241" s="1">
        <v>130</v>
      </c>
      <c r="I241" s="1" t="s">
        <v>222</v>
      </c>
      <c r="J241" s="11">
        <v>45801</v>
      </c>
      <c r="K241" t="s">
        <v>90</v>
      </c>
    </row>
    <row r="242" spans="7:11" x14ac:dyDescent="0.3">
      <c r="G242" t="s">
        <v>220</v>
      </c>
      <c r="H242" s="1">
        <v>960</v>
      </c>
      <c r="I242" s="1" t="s">
        <v>222</v>
      </c>
      <c r="J242" s="11">
        <v>45801</v>
      </c>
      <c r="K242" t="s">
        <v>90</v>
      </c>
    </row>
    <row r="243" spans="7:11" x14ac:dyDescent="0.3">
      <c r="G243" t="s">
        <v>205</v>
      </c>
      <c r="H243" s="1">
        <v>170</v>
      </c>
      <c r="I243" s="1" t="s">
        <v>222</v>
      </c>
      <c r="J243" s="11">
        <v>45801</v>
      </c>
      <c r="K243" t="s">
        <v>205</v>
      </c>
    </row>
    <row r="244" spans="7:11" x14ac:dyDescent="0.3">
      <c r="G244" t="s">
        <v>191</v>
      </c>
      <c r="H244" s="1">
        <v>80</v>
      </c>
      <c r="I244" s="1" t="s">
        <v>107</v>
      </c>
      <c r="J244" s="11">
        <v>45802</v>
      </c>
      <c r="K244" t="s">
        <v>96</v>
      </c>
    </row>
    <row r="245" spans="7:11" x14ac:dyDescent="0.3">
      <c r="G245" t="s">
        <v>58</v>
      </c>
      <c r="H245" s="1">
        <v>1040</v>
      </c>
      <c r="I245" s="1" t="s">
        <v>107</v>
      </c>
      <c r="J245" s="11">
        <v>45802</v>
      </c>
      <c r="K245" t="s">
        <v>97</v>
      </c>
    </row>
    <row r="246" spans="7:11" x14ac:dyDescent="0.3">
      <c r="G246" t="s">
        <v>143</v>
      </c>
      <c r="H246" s="1">
        <v>20</v>
      </c>
      <c r="I246" s="1" t="s">
        <v>107</v>
      </c>
      <c r="J246" s="11">
        <v>45803</v>
      </c>
      <c r="K246" t="s">
        <v>115</v>
      </c>
    </row>
    <row r="247" spans="7:11" x14ac:dyDescent="0.3">
      <c r="G247" t="s">
        <v>161</v>
      </c>
      <c r="H247" s="1">
        <v>600</v>
      </c>
      <c r="I247" s="1" t="s">
        <v>107</v>
      </c>
      <c r="J247" s="11">
        <v>45803</v>
      </c>
      <c r="K247" t="s">
        <v>161</v>
      </c>
    </row>
    <row r="248" spans="7:11" x14ac:dyDescent="0.3">
      <c r="G248" t="s">
        <v>143</v>
      </c>
      <c r="H248" s="1">
        <v>16</v>
      </c>
      <c r="I248" s="1" t="s">
        <v>107</v>
      </c>
      <c r="J248" s="11">
        <v>45803</v>
      </c>
      <c r="K248" t="s">
        <v>115</v>
      </c>
    </row>
    <row r="249" spans="7:11" x14ac:dyDescent="0.3">
      <c r="G249" t="s">
        <v>236</v>
      </c>
      <c r="H249" s="1">
        <v>200</v>
      </c>
      <c r="I249" s="1" t="s">
        <v>107</v>
      </c>
      <c r="J249" s="11">
        <v>45803</v>
      </c>
      <c r="K249" t="s">
        <v>96</v>
      </c>
    </row>
    <row r="250" spans="7:11" x14ac:dyDescent="0.3">
      <c r="G250" t="s">
        <v>149</v>
      </c>
      <c r="H250" s="1">
        <v>130</v>
      </c>
      <c r="I250" s="1" t="s">
        <v>107</v>
      </c>
      <c r="J250" s="11">
        <v>45803</v>
      </c>
      <c r="K250" t="s">
        <v>210</v>
      </c>
    </row>
    <row r="251" spans="7:11" x14ac:dyDescent="0.3">
      <c r="G251" t="s">
        <v>70</v>
      </c>
      <c r="H251" s="1">
        <v>350</v>
      </c>
      <c r="I251" s="1" t="s">
        <v>107</v>
      </c>
      <c r="J251" s="11">
        <v>45803</v>
      </c>
      <c r="K251" t="s">
        <v>92</v>
      </c>
    </row>
    <row r="252" spans="7:11" x14ac:dyDescent="0.3">
      <c r="G252" t="s">
        <v>33</v>
      </c>
      <c r="H252" s="1">
        <v>1520</v>
      </c>
      <c r="I252" s="1" t="s">
        <v>107</v>
      </c>
      <c r="J252" s="11">
        <v>45803</v>
      </c>
      <c r="K252" t="s">
        <v>97</v>
      </c>
    </row>
    <row r="253" spans="7:11" x14ac:dyDescent="0.3">
      <c r="G253" t="s">
        <v>149</v>
      </c>
      <c r="H253" s="1">
        <v>5.5</v>
      </c>
      <c r="I253" s="1" t="s">
        <v>107</v>
      </c>
      <c r="J253" s="11">
        <v>45804</v>
      </c>
      <c r="K253" t="s">
        <v>210</v>
      </c>
    </row>
    <row r="254" spans="7:11" x14ac:dyDescent="0.3">
      <c r="G254" t="s">
        <v>215</v>
      </c>
      <c r="H254" s="1">
        <v>100</v>
      </c>
      <c r="I254" s="1" t="s">
        <v>107</v>
      </c>
      <c r="J254" s="11">
        <v>45804</v>
      </c>
      <c r="K254" t="s">
        <v>90</v>
      </c>
    </row>
    <row r="255" spans="7:11" x14ac:dyDescent="0.3">
      <c r="G255" t="s">
        <v>181</v>
      </c>
      <c r="H255" s="1">
        <v>450</v>
      </c>
      <c r="I255" s="1" t="s">
        <v>107</v>
      </c>
      <c r="J255" s="11">
        <v>45804</v>
      </c>
      <c r="K255" t="s">
        <v>90</v>
      </c>
    </row>
    <row r="256" spans="7:11" x14ac:dyDescent="0.3">
      <c r="G256" t="s">
        <v>237</v>
      </c>
      <c r="H256" s="1">
        <v>289</v>
      </c>
      <c r="I256" s="1" t="s">
        <v>107</v>
      </c>
      <c r="J256" s="11">
        <v>45804</v>
      </c>
      <c r="K256" t="s">
        <v>97</v>
      </c>
    </row>
    <row r="257" spans="7:11" x14ac:dyDescent="0.3">
      <c r="G257" t="s">
        <v>238</v>
      </c>
      <c r="H257" s="1">
        <v>150</v>
      </c>
      <c r="I257" s="1" t="s">
        <v>107</v>
      </c>
      <c r="J257" s="11">
        <v>45804</v>
      </c>
      <c r="K257" t="s">
        <v>97</v>
      </c>
    </row>
    <row r="258" spans="7:11" x14ac:dyDescent="0.3">
      <c r="G258" t="s">
        <v>143</v>
      </c>
      <c r="H258" s="1">
        <v>60</v>
      </c>
      <c r="I258" s="1" t="s">
        <v>107</v>
      </c>
      <c r="J258" s="11">
        <v>45805</v>
      </c>
      <c r="K258" t="s">
        <v>115</v>
      </c>
    </row>
    <row r="259" spans="7:11" x14ac:dyDescent="0.3">
      <c r="G259" t="s">
        <v>20</v>
      </c>
      <c r="H259" s="1">
        <v>30</v>
      </c>
      <c r="I259" s="1" t="s">
        <v>107</v>
      </c>
      <c r="J259" s="11">
        <v>45805</v>
      </c>
      <c r="K259" t="s">
        <v>92</v>
      </c>
    </row>
    <row r="260" spans="7:11" x14ac:dyDescent="0.3">
      <c r="G260" t="s">
        <v>79</v>
      </c>
      <c r="H260" s="1">
        <v>620</v>
      </c>
      <c r="I260" s="1" t="s">
        <v>107</v>
      </c>
      <c r="J260" s="11">
        <v>45806</v>
      </c>
      <c r="K260" t="s">
        <v>90</v>
      </c>
    </row>
    <row r="261" spans="7:11" x14ac:dyDescent="0.3">
      <c r="G261" t="s">
        <v>227</v>
      </c>
      <c r="H261" s="1">
        <v>865</v>
      </c>
      <c r="I261" s="1" t="s">
        <v>107</v>
      </c>
      <c r="J261" s="11">
        <v>45806</v>
      </c>
      <c r="K261" t="s">
        <v>90</v>
      </c>
    </row>
    <row r="262" spans="7:11" x14ac:dyDescent="0.3">
      <c r="G262" t="s">
        <v>149</v>
      </c>
      <c r="H262" s="1">
        <v>175</v>
      </c>
      <c r="I262" s="1" t="s">
        <v>107</v>
      </c>
      <c r="J262" s="11">
        <v>45806</v>
      </c>
      <c r="K262" t="s">
        <v>210</v>
      </c>
    </row>
    <row r="263" spans="7:11" x14ac:dyDescent="0.3">
      <c r="G263" t="s">
        <v>116</v>
      </c>
      <c r="H263" s="1">
        <v>300</v>
      </c>
      <c r="I263" s="1" t="s">
        <v>107</v>
      </c>
      <c r="J263" s="11">
        <v>45806</v>
      </c>
      <c r="K263" t="s">
        <v>90</v>
      </c>
    </row>
    <row r="264" spans="7:11" x14ac:dyDescent="0.3">
      <c r="G264" t="s">
        <v>209</v>
      </c>
      <c r="H264" s="1">
        <v>1600</v>
      </c>
      <c r="I264" s="1" t="s">
        <v>107</v>
      </c>
      <c r="J264" s="11">
        <v>45806</v>
      </c>
      <c r="K264" t="s">
        <v>92</v>
      </c>
    </row>
    <row r="265" spans="7:11" x14ac:dyDescent="0.3">
      <c r="G265" t="s">
        <v>217</v>
      </c>
      <c r="H265" s="1">
        <v>80</v>
      </c>
      <c r="I265" s="1" t="s">
        <v>107</v>
      </c>
      <c r="J265" s="11">
        <v>45806</v>
      </c>
      <c r="K265" t="s">
        <v>95</v>
      </c>
    </row>
    <row r="266" spans="7:11" x14ac:dyDescent="0.3">
      <c r="G266" t="s">
        <v>217</v>
      </c>
      <c r="H266" s="1">
        <v>40</v>
      </c>
      <c r="I266" s="1" t="s">
        <v>107</v>
      </c>
      <c r="J266" s="11">
        <v>45806</v>
      </c>
      <c r="K266" t="s">
        <v>95</v>
      </c>
    </row>
    <row r="267" spans="7:11" x14ac:dyDescent="0.3">
      <c r="G267" t="s">
        <v>239</v>
      </c>
      <c r="H267" s="1">
        <v>420</v>
      </c>
      <c r="I267" s="1" t="s">
        <v>107</v>
      </c>
      <c r="J267" s="11">
        <v>45807</v>
      </c>
      <c r="K267" t="s">
        <v>90</v>
      </c>
    </row>
    <row r="268" spans="7:11" x14ac:dyDescent="0.3">
      <c r="G268" t="s">
        <v>143</v>
      </c>
      <c r="H268" s="1">
        <v>10</v>
      </c>
      <c r="I268" s="1" t="s">
        <v>107</v>
      </c>
      <c r="J268" s="11">
        <v>45807</v>
      </c>
      <c r="K268" t="s">
        <v>143</v>
      </c>
    </row>
    <row r="269" spans="7:11" x14ac:dyDescent="0.3">
      <c r="G269" t="s">
        <v>240</v>
      </c>
      <c r="H269" s="1">
        <v>360</v>
      </c>
      <c r="I269" s="1" t="s">
        <v>107</v>
      </c>
      <c r="J269" s="11">
        <v>45807</v>
      </c>
      <c r="K269" t="s">
        <v>90</v>
      </c>
    </row>
    <row r="270" spans="7:11" x14ac:dyDescent="0.3">
      <c r="G270" t="s">
        <v>238</v>
      </c>
      <c r="H270" s="1">
        <v>100</v>
      </c>
      <c r="I270" s="1" t="s">
        <v>107</v>
      </c>
      <c r="J270" s="11">
        <v>45807</v>
      </c>
      <c r="K270" t="s">
        <v>97</v>
      </c>
    </row>
    <row r="271" spans="7:11" x14ac:dyDescent="0.3">
      <c r="G271" t="s">
        <v>33</v>
      </c>
      <c r="H271" s="1">
        <v>645</v>
      </c>
      <c r="I271" s="1" t="s">
        <v>107</v>
      </c>
      <c r="J271" s="11">
        <v>45807</v>
      </c>
      <c r="K271" t="s">
        <v>97</v>
      </c>
    </row>
    <row r="272" spans="7:11" x14ac:dyDescent="0.3">
      <c r="G272" t="s">
        <v>217</v>
      </c>
      <c r="H272" s="1">
        <v>40</v>
      </c>
      <c r="I272" s="1" t="s">
        <v>107</v>
      </c>
      <c r="J272" s="11">
        <v>45807</v>
      </c>
      <c r="K272" t="s">
        <v>95</v>
      </c>
    </row>
    <row r="273" spans="7:11" x14ac:dyDescent="0.3">
      <c r="G273" t="s">
        <v>241</v>
      </c>
      <c r="H273" s="1">
        <v>150</v>
      </c>
      <c r="I273" s="1" t="s">
        <v>107</v>
      </c>
      <c r="J273" s="11">
        <v>45808</v>
      </c>
      <c r="K273" t="s">
        <v>92</v>
      </c>
    </row>
    <row r="274" spans="7:11" x14ac:dyDescent="0.3">
      <c r="G274" t="s">
        <v>220</v>
      </c>
      <c r="H274" s="1">
        <v>845</v>
      </c>
      <c r="I274" s="1" t="s">
        <v>107</v>
      </c>
      <c r="J274" s="11">
        <v>45808</v>
      </c>
      <c r="K274" t="s">
        <v>90</v>
      </c>
    </row>
    <row r="275" spans="7:11" x14ac:dyDescent="0.3">
      <c r="G275" t="s">
        <v>205</v>
      </c>
      <c r="H275" s="1">
        <v>170</v>
      </c>
      <c r="I275" s="1" t="s">
        <v>107</v>
      </c>
      <c r="J275" s="11">
        <v>45808</v>
      </c>
      <c r="K275" t="s">
        <v>205</v>
      </c>
    </row>
    <row r="276" spans="7:11" x14ac:dyDescent="0.3">
      <c r="G276" t="s">
        <v>58</v>
      </c>
      <c r="H276" s="1">
        <v>170</v>
      </c>
      <c r="I276" s="1" t="s">
        <v>107</v>
      </c>
      <c r="J276" s="11">
        <v>45808</v>
      </c>
      <c r="K276" t="s">
        <v>97</v>
      </c>
    </row>
    <row r="277" spans="7:11" x14ac:dyDescent="0.3">
      <c r="G277" t="s">
        <v>217</v>
      </c>
      <c r="H277" s="1">
        <v>160</v>
      </c>
      <c r="I277" s="1" t="s">
        <v>107</v>
      </c>
      <c r="J277" s="11">
        <v>45808</v>
      </c>
      <c r="K277" t="s">
        <v>95</v>
      </c>
    </row>
    <row r="278" spans="7:11" x14ac:dyDescent="0.3">
      <c r="G278" t="s">
        <v>130</v>
      </c>
      <c r="H278" s="1">
        <v>4000</v>
      </c>
      <c r="I278" s="1" t="s">
        <v>242</v>
      </c>
      <c r="J278" s="11">
        <v>45809</v>
      </c>
      <c r="K278" t="s">
        <v>91</v>
      </c>
    </row>
    <row r="279" spans="7:11" x14ac:dyDescent="0.3">
      <c r="G279" t="s">
        <v>129</v>
      </c>
      <c r="H279" s="1">
        <v>2000</v>
      </c>
      <c r="I279" s="1" t="s">
        <v>242</v>
      </c>
      <c r="J279" s="11">
        <v>45809</v>
      </c>
      <c r="K279" t="s">
        <v>91</v>
      </c>
    </row>
    <row r="280" spans="7:11" x14ac:dyDescent="0.3">
      <c r="G280" t="s">
        <v>207</v>
      </c>
      <c r="H280" s="1">
        <v>1930</v>
      </c>
      <c r="I280" s="1" t="s">
        <v>242</v>
      </c>
      <c r="J280" s="11">
        <v>45810</v>
      </c>
      <c r="K280" t="s">
        <v>91</v>
      </c>
    </row>
    <row r="281" spans="7:11" x14ac:dyDescent="0.3">
      <c r="G281" t="s">
        <v>245</v>
      </c>
      <c r="H281" s="1">
        <v>2700</v>
      </c>
      <c r="I281" s="1" t="s">
        <v>242</v>
      </c>
      <c r="J281" s="11">
        <v>45810</v>
      </c>
      <c r="K281" t="s">
        <v>92</v>
      </c>
    </row>
    <row r="282" spans="7:11" x14ac:dyDescent="0.3">
      <c r="G282" t="s">
        <v>152</v>
      </c>
      <c r="H282" s="1">
        <v>5500</v>
      </c>
      <c r="I282" s="1" t="s">
        <v>242</v>
      </c>
      <c r="J282" s="11">
        <v>45810</v>
      </c>
      <c r="K282" t="s">
        <v>212</v>
      </c>
    </row>
    <row r="283" spans="7:11" x14ac:dyDescent="0.3">
      <c r="G283" t="s">
        <v>132</v>
      </c>
      <c r="H283" s="1">
        <v>120</v>
      </c>
      <c r="I283" s="1" t="s">
        <v>242</v>
      </c>
      <c r="J283" s="11">
        <v>45810</v>
      </c>
      <c r="K283" t="s">
        <v>90</v>
      </c>
    </row>
    <row r="284" spans="7:11" x14ac:dyDescent="0.3">
      <c r="G284" t="s">
        <v>243</v>
      </c>
      <c r="H284" s="1">
        <v>40</v>
      </c>
      <c r="I284" s="1" t="s">
        <v>242</v>
      </c>
      <c r="J284" s="11">
        <v>45810</v>
      </c>
      <c r="K284" t="s">
        <v>95</v>
      </c>
    </row>
    <row r="285" spans="7:11" x14ac:dyDescent="0.3">
      <c r="G285" t="s">
        <v>49</v>
      </c>
      <c r="H285" s="1">
        <v>165</v>
      </c>
      <c r="I285" s="1" t="s">
        <v>242</v>
      </c>
      <c r="J285" s="11">
        <v>45810</v>
      </c>
      <c r="K285" t="s">
        <v>95</v>
      </c>
    </row>
    <row r="286" spans="7:11" x14ac:dyDescent="0.3">
      <c r="G286" t="s">
        <v>244</v>
      </c>
      <c r="H286" s="1">
        <v>2070</v>
      </c>
      <c r="I286" s="1" t="s">
        <v>242</v>
      </c>
      <c r="J286" s="11">
        <v>45810</v>
      </c>
      <c r="K286" t="s">
        <v>95</v>
      </c>
    </row>
    <row r="287" spans="7:11" x14ac:dyDescent="0.3">
      <c r="G287" t="s">
        <v>246</v>
      </c>
      <c r="H287" s="1">
        <v>9.5</v>
      </c>
      <c r="I287" s="1" t="s">
        <v>242</v>
      </c>
      <c r="J287" s="11">
        <v>45811</v>
      </c>
      <c r="K287" t="s">
        <v>96</v>
      </c>
    </row>
    <row r="288" spans="7:11" x14ac:dyDescent="0.3">
      <c r="G288" t="s">
        <v>247</v>
      </c>
      <c r="H288" s="1">
        <v>400</v>
      </c>
      <c r="I288" s="1" t="s">
        <v>242</v>
      </c>
      <c r="J288" s="11">
        <v>45811</v>
      </c>
      <c r="K288" t="s">
        <v>90</v>
      </c>
    </row>
    <row r="289" spans="7:11" x14ac:dyDescent="0.3">
      <c r="G289" t="s">
        <v>248</v>
      </c>
      <c r="H289" s="1">
        <v>575</v>
      </c>
      <c r="I289" s="1" t="s">
        <v>242</v>
      </c>
      <c r="J289" s="11">
        <v>45811</v>
      </c>
      <c r="K289" t="s">
        <v>90</v>
      </c>
    </row>
    <row r="290" spans="7:11" x14ac:dyDescent="0.3">
      <c r="G290" t="s">
        <v>200</v>
      </c>
      <c r="H290" s="1">
        <v>690</v>
      </c>
      <c r="I290" s="1" t="s">
        <v>242</v>
      </c>
      <c r="J290" s="11">
        <v>45811</v>
      </c>
      <c r="K290" t="s">
        <v>90</v>
      </c>
    </row>
    <row r="291" spans="7:11" x14ac:dyDescent="0.3">
      <c r="G291" t="s">
        <v>217</v>
      </c>
      <c r="H291" s="1">
        <v>280</v>
      </c>
      <c r="I291" s="1" t="s">
        <v>242</v>
      </c>
      <c r="J291" s="11">
        <v>45811</v>
      </c>
      <c r="K291" t="s">
        <v>95</v>
      </c>
    </row>
    <row r="292" spans="7:11" x14ac:dyDescent="0.3">
      <c r="G292" t="s">
        <v>143</v>
      </c>
      <c r="H292" s="1">
        <v>15</v>
      </c>
      <c r="I292" s="1" t="s">
        <v>242</v>
      </c>
      <c r="J292" s="11">
        <v>45812</v>
      </c>
      <c r="K292" t="s">
        <v>143</v>
      </c>
    </row>
    <row r="293" spans="7:11" x14ac:dyDescent="0.3">
      <c r="G293" t="s">
        <v>227</v>
      </c>
      <c r="H293" s="1">
        <v>1095</v>
      </c>
      <c r="I293" s="1" t="s">
        <v>242</v>
      </c>
      <c r="J293" s="11">
        <v>45812</v>
      </c>
      <c r="K293" t="s">
        <v>90</v>
      </c>
    </row>
    <row r="294" spans="7:11" x14ac:dyDescent="0.3">
      <c r="G294" t="s">
        <v>20</v>
      </c>
      <c r="H294" s="1">
        <v>15</v>
      </c>
      <c r="I294" s="1" t="s">
        <v>242</v>
      </c>
      <c r="J294" s="11">
        <v>45812</v>
      </c>
      <c r="K294" t="s">
        <v>92</v>
      </c>
    </row>
    <row r="295" spans="7:11" x14ac:dyDescent="0.3">
      <c r="G295" t="s">
        <v>162</v>
      </c>
      <c r="H295" s="1">
        <v>190</v>
      </c>
      <c r="I295" s="1" t="s">
        <v>242</v>
      </c>
      <c r="J295" s="11">
        <v>45812</v>
      </c>
      <c r="K295" t="s">
        <v>162</v>
      </c>
    </row>
    <row r="296" spans="7:11" x14ac:dyDescent="0.3">
      <c r="G296" t="s">
        <v>149</v>
      </c>
      <c r="H296" s="1">
        <v>130</v>
      </c>
      <c r="I296" s="1" t="s">
        <v>242</v>
      </c>
      <c r="J296" s="11">
        <v>45812</v>
      </c>
      <c r="K296" t="s">
        <v>210</v>
      </c>
    </row>
    <row r="297" spans="7:11" x14ac:dyDescent="0.3">
      <c r="G297" t="s">
        <v>140</v>
      </c>
      <c r="H297" s="1">
        <v>389.5</v>
      </c>
      <c r="I297" s="1" t="s">
        <v>242</v>
      </c>
      <c r="J297" s="11">
        <v>45812</v>
      </c>
      <c r="K297" t="s">
        <v>91</v>
      </c>
    </row>
    <row r="298" spans="7:11" x14ac:dyDescent="0.3">
      <c r="G298" t="s">
        <v>49</v>
      </c>
      <c r="H298" s="1">
        <v>135</v>
      </c>
      <c r="I298" s="1" t="s">
        <v>242</v>
      </c>
      <c r="J298" s="11">
        <v>45812</v>
      </c>
      <c r="K298" t="s">
        <v>95</v>
      </c>
    </row>
    <row r="299" spans="7:11" x14ac:dyDescent="0.3">
      <c r="G299" t="s">
        <v>246</v>
      </c>
      <c r="H299" s="1">
        <v>114</v>
      </c>
      <c r="I299" s="1" t="s">
        <v>242</v>
      </c>
      <c r="J299" s="11">
        <v>45813</v>
      </c>
      <c r="K299" t="s">
        <v>96</v>
      </c>
    </row>
    <row r="300" spans="7:11" x14ac:dyDescent="0.3">
      <c r="G300" t="s">
        <v>143</v>
      </c>
      <c r="H300" s="1">
        <v>12</v>
      </c>
      <c r="I300" s="1" t="s">
        <v>242</v>
      </c>
      <c r="J300" s="11">
        <v>45813</v>
      </c>
      <c r="K300" t="s">
        <v>115</v>
      </c>
    </row>
    <row r="301" spans="7:11" x14ac:dyDescent="0.3">
      <c r="G301" t="s">
        <v>249</v>
      </c>
      <c r="H301" s="1">
        <v>50</v>
      </c>
      <c r="I301" s="1" t="s">
        <v>242</v>
      </c>
      <c r="J301" s="11">
        <v>45813</v>
      </c>
      <c r="K301" t="s">
        <v>91</v>
      </c>
    </row>
    <row r="302" spans="7:11" x14ac:dyDescent="0.3">
      <c r="G302" t="s">
        <v>149</v>
      </c>
      <c r="H302" s="1">
        <v>35</v>
      </c>
      <c r="I302" s="1" t="s">
        <v>242</v>
      </c>
      <c r="J302" s="11">
        <v>45813</v>
      </c>
      <c r="K302" t="s">
        <v>210</v>
      </c>
    </row>
    <row r="303" spans="7:11" x14ac:dyDescent="0.3">
      <c r="G303" t="s">
        <v>250</v>
      </c>
      <c r="H303" s="1">
        <v>149</v>
      </c>
      <c r="I303" s="1" t="s">
        <v>242</v>
      </c>
      <c r="J303" s="11">
        <v>45813</v>
      </c>
      <c r="K303" t="s">
        <v>91</v>
      </c>
    </row>
    <row r="304" spans="7:11" x14ac:dyDescent="0.3">
      <c r="G304" t="s">
        <v>217</v>
      </c>
      <c r="H304" s="1">
        <v>500</v>
      </c>
      <c r="I304" s="1" t="s">
        <v>242</v>
      </c>
      <c r="J304" s="11">
        <v>45813</v>
      </c>
      <c r="K304" t="s">
        <v>95</v>
      </c>
    </row>
    <row r="305" spans="7:11" x14ac:dyDescent="0.3">
      <c r="G305" t="s">
        <v>217</v>
      </c>
      <c r="H305" s="1">
        <v>40</v>
      </c>
      <c r="I305" s="1" t="s">
        <v>242</v>
      </c>
      <c r="J305" s="11">
        <v>45813</v>
      </c>
      <c r="K305" t="s">
        <v>95</v>
      </c>
    </row>
    <row r="306" spans="7:11" x14ac:dyDescent="0.3">
      <c r="G306" t="s">
        <v>214</v>
      </c>
      <c r="H306" s="1">
        <v>1500</v>
      </c>
      <c r="I306" s="1" t="s">
        <v>242</v>
      </c>
      <c r="J306" s="11">
        <v>45814</v>
      </c>
      <c r="K306" t="s">
        <v>90</v>
      </c>
    </row>
    <row r="307" spans="7:11" x14ac:dyDescent="0.3">
      <c r="G307" t="s">
        <v>143</v>
      </c>
      <c r="H307" s="1">
        <v>25</v>
      </c>
      <c r="I307" s="1" t="s">
        <v>242</v>
      </c>
      <c r="J307" s="11">
        <v>45814</v>
      </c>
      <c r="K307" t="s">
        <v>115</v>
      </c>
    </row>
    <row r="308" spans="7:11" x14ac:dyDescent="0.3">
      <c r="G308" t="s">
        <v>73</v>
      </c>
      <c r="H308" s="1">
        <v>1244</v>
      </c>
      <c r="I308" s="1" t="s">
        <v>242</v>
      </c>
      <c r="J308" s="11">
        <v>45814</v>
      </c>
      <c r="K308" t="s">
        <v>90</v>
      </c>
    </row>
    <row r="309" spans="7:11" x14ac:dyDescent="0.3">
      <c r="G309" t="s">
        <v>251</v>
      </c>
      <c r="H309" s="1">
        <v>12.5</v>
      </c>
      <c r="I309" s="1" t="s">
        <v>242</v>
      </c>
      <c r="J309" s="11">
        <v>45814</v>
      </c>
      <c r="K309" t="s">
        <v>92</v>
      </c>
    </row>
    <row r="310" spans="7:11" x14ac:dyDescent="0.3">
      <c r="G310" t="s">
        <v>143</v>
      </c>
      <c r="H310" s="1">
        <v>10</v>
      </c>
      <c r="I310" s="1" t="s">
        <v>242</v>
      </c>
      <c r="J310" s="11">
        <v>45814</v>
      </c>
      <c r="K310" t="s">
        <v>115</v>
      </c>
    </row>
    <row r="311" spans="7:11" x14ac:dyDescent="0.3">
      <c r="G311" t="s">
        <v>33</v>
      </c>
      <c r="H311" s="1">
        <v>1500</v>
      </c>
      <c r="I311" s="1" t="s">
        <v>242</v>
      </c>
      <c r="J311" s="11">
        <v>45814</v>
      </c>
      <c r="K311" t="s">
        <v>97</v>
      </c>
    </row>
    <row r="312" spans="7:11" x14ac:dyDescent="0.3">
      <c r="G312" t="s">
        <v>161</v>
      </c>
      <c r="H312" s="1">
        <v>600</v>
      </c>
      <c r="I312" s="1" t="s">
        <v>242</v>
      </c>
      <c r="J312" s="11">
        <v>45815</v>
      </c>
      <c r="K312" t="s">
        <v>161</v>
      </c>
    </row>
    <row r="313" spans="7:11" x14ac:dyDescent="0.3">
      <c r="G313" t="s">
        <v>252</v>
      </c>
      <c r="H313" s="1">
        <v>220</v>
      </c>
      <c r="I313" s="1" t="s">
        <v>242</v>
      </c>
      <c r="J313" s="11">
        <v>45815</v>
      </c>
      <c r="K313" t="s">
        <v>96</v>
      </c>
    </row>
    <row r="314" spans="7:11" x14ac:dyDescent="0.3">
      <c r="G314" t="s">
        <v>143</v>
      </c>
      <c r="H314" s="1">
        <v>16</v>
      </c>
      <c r="I314" s="1" t="s">
        <v>242</v>
      </c>
      <c r="J314" s="11">
        <v>45815</v>
      </c>
      <c r="K314" t="s">
        <v>115</v>
      </c>
    </row>
    <row r="315" spans="7:11" x14ac:dyDescent="0.3">
      <c r="G315" t="s">
        <v>205</v>
      </c>
      <c r="H315" s="1">
        <v>170</v>
      </c>
      <c r="I315" s="1" t="s">
        <v>242</v>
      </c>
      <c r="J315" s="11">
        <v>45815</v>
      </c>
      <c r="K315" t="s">
        <v>205</v>
      </c>
    </row>
    <row r="316" spans="7:11" x14ac:dyDescent="0.3">
      <c r="G316" t="s">
        <v>149</v>
      </c>
      <c r="H316" s="1">
        <v>150</v>
      </c>
      <c r="I316" s="1" t="s">
        <v>242</v>
      </c>
      <c r="J316" s="11">
        <v>45815</v>
      </c>
      <c r="K316" t="s">
        <v>210</v>
      </c>
    </row>
    <row r="317" spans="7:11" x14ac:dyDescent="0.3">
      <c r="G317" t="s">
        <v>132</v>
      </c>
      <c r="H317" s="1">
        <v>130</v>
      </c>
      <c r="I317" s="1" t="s">
        <v>242</v>
      </c>
      <c r="J317" s="11">
        <v>45815</v>
      </c>
      <c r="K317" t="s">
        <v>90</v>
      </c>
    </row>
    <row r="318" spans="7:11" x14ac:dyDescent="0.3">
      <c r="G318" t="s">
        <v>257</v>
      </c>
      <c r="H318" s="1">
        <v>4000</v>
      </c>
      <c r="I318" s="1" t="s">
        <v>242</v>
      </c>
      <c r="J318" s="11">
        <v>45817</v>
      </c>
      <c r="K318" t="s">
        <v>97</v>
      </c>
    </row>
    <row r="319" spans="7:11" x14ac:dyDescent="0.3">
      <c r="G319" t="s">
        <v>253</v>
      </c>
      <c r="H319" s="1">
        <v>215.4</v>
      </c>
      <c r="I319" s="1" t="s">
        <v>242</v>
      </c>
      <c r="J319" s="11">
        <v>45817</v>
      </c>
      <c r="K319" t="s">
        <v>96</v>
      </c>
    </row>
    <row r="320" spans="7:11" x14ac:dyDescent="0.3">
      <c r="G320" t="s">
        <v>254</v>
      </c>
      <c r="H320" s="1">
        <v>18</v>
      </c>
      <c r="I320" s="1" t="s">
        <v>242</v>
      </c>
      <c r="J320" s="11">
        <v>45817</v>
      </c>
      <c r="K320" t="s">
        <v>96</v>
      </c>
    </row>
    <row r="321" spans="7:11" x14ac:dyDescent="0.3">
      <c r="G321" t="s">
        <v>255</v>
      </c>
      <c r="H321" s="1">
        <v>100</v>
      </c>
      <c r="I321" s="1" t="s">
        <v>242</v>
      </c>
      <c r="J321" s="11">
        <v>45817</v>
      </c>
      <c r="K321" t="s">
        <v>90</v>
      </c>
    </row>
    <row r="322" spans="7:11" x14ac:dyDescent="0.3">
      <c r="G322" t="s">
        <v>143</v>
      </c>
      <c r="H322" s="1">
        <v>10</v>
      </c>
      <c r="I322" s="1" t="s">
        <v>242</v>
      </c>
      <c r="J322" s="11">
        <v>45817</v>
      </c>
      <c r="K322" t="s">
        <v>115</v>
      </c>
    </row>
    <row r="323" spans="7:11" x14ac:dyDescent="0.3">
      <c r="G323" t="s">
        <v>143</v>
      </c>
      <c r="H323" s="1">
        <v>25</v>
      </c>
      <c r="I323" s="1" t="s">
        <v>242</v>
      </c>
      <c r="J323" s="11">
        <v>45817</v>
      </c>
      <c r="K323" t="s">
        <v>115</v>
      </c>
    </row>
    <row r="324" spans="7:11" x14ac:dyDescent="0.3">
      <c r="G324" t="s">
        <v>143</v>
      </c>
      <c r="H324" s="1">
        <v>3.5</v>
      </c>
      <c r="I324" s="1" t="s">
        <v>242</v>
      </c>
      <c r="J324" s="11">
        <v>45817</v>
      </c>
      <c r="K324" t="s">
        <v>115</v>
      </c>
    </row>
    <row r="325" spans="7:11" x14ac:dyDescent="0.3">
      <c r="G325" t="s">
        <v>256</v>
      </c>
      <c r="H325" s="1">
        <v>7</v>
      </c>
      <c r="I325" s="1" t="s">
        <v>242</v>
      </c>
      <c r="J325" s="11">
        <v>45817</v>
      </c>
      <c r="K325" t="s">
        <v>92</v>
      </c>
    </row>
    <row r="326" spans="7:11" x14ac:dyDescent="0.3">
      <c r="G326" t="s">
        <v>206</v>
      </c>
      <c r="H326" s="1">
        <v>170</v>
      </c>
      <c r="I326" s="1" t="s">
        <v>242</v>
      </c>
      <c r="J326" s="11">
        <v>45817</v>
      </c>
      <c r="K326" t="s">
        <v>90</v>
      </c>
    </row>
    <row r="327" spans="7:11" x14ac:dyDescent="0.3">
      <c r="G327" t="s">
        <v>209</v>
      </c>
      <c r="H327" s="1">
        <v>1230</v>
      </c>
      <c r="I327" s="1" t="s">
        <v>242</v>
      </c>
      <c r="J327" s="11">
        <v>45817</v>
      </c>
      <c r="K327" t="s">
        <v>90</v>
      </c>
    </row>
    <row r="328" spans="7:11" x14ac:dyDescent="0.3">
      <c r="G328" t="s">
        <v>259</v>
      </c>
      <c r="H328" s="1">
        <v>50</v>
      </c>
      <c r="I328" s="1" t="s">
        <v>242</v>
      </c>
      <c r="J328" s="11">
        <v>45817</v>
      </c>
      <c r="K328" t="s">
        <v>96</v>
      </c>
    </row>
    <row r="329" spans="7:11" x14ac:dyDescent="0.3">
      <c r="G329" t="s">
        <v>143</v>
      </c>
      <c r="H329" s="1">
        <v>5</v>
      </c>
      <c r="I329" s="1" t="s">
        <v>242</v>
      </c>
      <c r="J329" s="11">
        <v>45817</v>
      </c>
      <c r="K329" t="s">
        <v>143</v>
      </c>
    </row>
    <row r="330" spans="7:11" x14ac:dyDescent="0.3">
      <c r="G330" t="s">
        <v>60</v>
      </c>
      <c r="H330" s="1">
        <v>15</v>
      </c>
      <c r="I330" s="1" t="s">
        <v>242</v>
      </c>
      <c r="J330" s="11">
        <v>45817</v>
      </c>
      <c r="K330" t="s">
        <v>96</v>
      </c>
    </row>
    <row r="331" spans="7:11" x14ac:dyDescent="0.3">
      <c r="G331" t="s">
        <v>35</v>
      </c>
      <c r="H331" s="1">
        <v>24.5</v>
      </c>
      <c r="I331" s="1" t="s">
        <v>242</v>
      </c>
      <c r="J331" s="11">
        <v>45817</v>
      </c>
      <c r="K331" t="s">
        <v>96</v>
      </c>
    </row>
    <row r="332" spans="7:11" x14ac:dyDescent="0.3">
      <c r="G332" t="s">
        <v>49</v>
      </c>
      <c r="H332" s="1">
        <v>220</v>
      </c>
      <c r="I332" s="1" t="s">
        <v>242</v>
      </c>
      <c r="J332" s="11">
        <v>45817</v>
      </c>
      <c r="K332" t="s">
        <v>95</v>
      </c>
    </row>
    <row r="333" spans="7:11" x14ac:dyDescent="0.3">
      <c r="G333" t="s">
        <v>258</v>
      </c>
      <c r="H333" s="1">
        <v>126</v>
      </c>
      <c r="I333" s="1" t="s">
        <v>242</v>
      </c>
      <c r="J333" s="11">
        <v>45817</v>
      </c>
      <c r="K333" t="s">
        <v>96</v>
      </c>
    </row>
    <row r="334" spans="7:11" x14ac:dyDescent="0.3">
      <c r="G334" t="s">
        <v>51</v>
      </c>
      <c r="H334" s="1">
        <v>5</v>
      </c>
      <c r="I334" s="1" t="s">
        <v>242</v>
      </c>
      <c r="J334" s="11">
        <v>45818</v>
      </c>
      <c r="K334" t="s">
        <v>97</v>
      </c>
    </row>
    <row r="335" spans="7:11" x14ac:dyDescent="0.3">
      <c r="G335" t="s">
        <v>137</v>
      </c>
      <c r="H335" s="1">
        <v>3765</v>
      </c>
      <c r="I335" s="1" t="s">
        <v>242</v>
      </c>
      <c r="J335" s="11">
        <v>45818</v>
      </c>
      <c r="K335" t="s">
        <v>211</v>
      </c>
    </row>
    <row r="336" spans="7:11" x14ac:dyDescent="0.3">
      <c r="G336" t="s">
        <v>143</v>
      </c>
      <c r="H336" s="1">
        <v>10</v>
      </c>
      <c r="I336" s="1" t="s">
        <v>242</v>
      </c>
      <c r="J336" s="11">
        <v>45818</v>
      </c>
      <c r="K336" t="s">
        <v>143</v>
      </c>
    </row>
    <row r="337" spans="7:11" x14ac:dyDescent="0.3">
      <c r="G337" t="s">
        <v>228</v>
      </c>
      <c r="H337" s="1">
        <v>10368.9</v>
      </c>
      <c r="I337" s="1" t="s">
        <v>242</v>
      </c>
      <c r="J337" s="11">
        <v>45818</v>
      </c>
      <c r="K337" t="s">
        <v>94</v>
      </c>
    </row>
    <row r="338" spans="7:11" x14ac:dyDescent="0.3">
      <c r="G338" t="s">
        <v>215</v>
      </c>
      <c r="H338" s="1">
        <v>70</v>
      </c>
      <c r="I338" s="1" t="s">
        <v>242</v>
      </c>
      <c r="J338" s="11">
        <v>45818</v>
      </c>
      <c r="K338" t="s">
        <v>90</v>
      </c>
    </row>
    <row r="339" spans="7:11" x14ac:dyDescent="0.3">
      <c r="G339" t="s">
        <v>260</v>
      </c>
      <c r="H339" s="1">
        <v>2200</v>
      </c>
      <c r="I339" s="1" t="s">
        <v>242</v>
      </c>
      <c r="J339" s="11">
        <v>45818</v>
      </c>
      <c r="K339" t="s">
        <v>160</v>
      </c>
    </row>
    <row r="340" spans="7:11" x14ac:dyDescent="0.3">
      <c r="G340" t="s">
        <v>200</v>
      </c>
      <c r="H340" s="1">
        <v>1200</v>
      </c>
      <c r="I340" s="1" t="s">
        <v>242</v>
      </c>
      <c r="J340" s="11">
        <v>45818</v>
      </c>
      <c r="K340" t="s">
        <v>90</v>
      </c>
    </row>
    <row r="341" spans="7:11" x14ac:dyDescent="0.3">
      <c r="G341" t="s">
        <v>181</v>
      </c>
      <c r="H341" s="1">
        <v>525</v>
      </c>
      <c r="I341" s="1" t="s">
        <v>242</v>
      </c>
      <c r="J341" s="11">
        <v>45818</v>
      </c>
      <c r="K341" t="s">
        <v>90</v>
      </c>
    </row>
    <row r="342" spans="7:11" x14ac:dyDescent="0.3">
      <c r="G342" t="s">
        <v>226</v>
      </c>
      <c r="H342" s="1">
        <v>80</v>
      </c>
      <c r="I342" s="1" t="s">
        <v>242</v>
      </c>
      <c r="J342" s="11">
        <v>45818</v>
      </c>
      <c r="K342" t="s">
        <v>97</v>
      </c>
    </row>
    <row r="343" spans="7:11" x14ac:dyDescent="0.3">
      <c r="G343" t="s">
        <v>217</v>
      </c>
      <c r="H343" s="1">
        <v>40</v>
      </c>
      <c r="I343" s="1" t="s">
        <v>242</v>
      </c>
      <c r="J343" s="11">
        <v>45818</v>
      </c>
      <c r="K343" t="s">
        <v>95</v>
      </c>
    </row>
    <row r="344" spans="7:11" x14ac:dyDescent="0.3">
      <c r="G344" t="s">
        <v>217</v>
      </c>
      <c r="H344" s="1">
        <v>400</v>
      </c>
      <c r="I344" s="1" t="s">
        <v>242</v>
      </c>
      <c r="J344" s="11">
        <v>45818</v>
      </c>
      <c r="K344" t="s">
        <v>95</v>
      </c>
    </row>
    <row r="345" spans="7:11" x14ac:dyDescent="0.3">
      <c r="G345" t="s">
        <v>217</v>
      </c>
      <c r="H345" s="1">
        <v>190</v>
      </c>
      <c r="I345" s="1" t="s">
        <v>242</v>
      </c>
      <c r="J345" s="11">
        <v>45818</v>
      </c>
      <c r="K345" t="s">
        <v>95</v>
      </c>
    </row>
    <row r="346" spans="7:11" x14ac:dyDescent="0.3">
      <c r="G346" t="s">
        <v>217</v>
      </c>
      <c r="H346" s="1">
        <v>80</v>
      </c>
      <c r="I346" s="1" t="s">
        <v>242</v>
      </c>
      <c r="J346" s="11">
        <v>45818</v>
      </c>
      <c r="K346" t="s">
        <v>95</v>
      </c>
    </row>
    <row r="347" spans="7:11" x14ac:dyDescent="0.3">
      <c r="G347" t="s">
        <v>20</v>
      </c>
      <c r="H347" s="1">
        <v>40</v>
      </c>
      <c r="I347" s="1" t="s">
        <v>242</v>
      </c>
      <c r="J347" s="11">
        <v>45819</v>
      </c>
      <c r="K347" t="s">
        <v>92</v>
      </c>
    </row>
    <row r="348" spans="7:11" x14ac:dyDescent="0.3">
      <c r="G348" t="s">
        <v>149</v>
      </c>
      <c r="H348" s="1">
        <v>470</v>
      </c>
      <c r="I348" s="1" t="s">
        <v>242</v>
      </c>
      <c r="J348" s="11">
        <v>45819</v>
      </c>
      <c r="K348" t="s">
        <v>210</v>
      </c>
    </row>
    <row r="349" spans="7:11" x14ac:dyDescent="0.3">
      <c r="G349" t="s">
        <v>227</v>
      </c>
      <c r="H349" s="1">
        <v>785</v>
      </c>
      <c r="I349" s="1" t="s">
        <v>242</v>
      </c>
      <c r="J349" s="11">
        <v>45819</v>
      </c>
      <c r="K349" t="s">
        <v>90</v>
      </c>
    </row>
    <row r="350" spans="7:11" x14ac:dyDescent="0.3">
      <c r="G350" t="s">
        <v>256</v>
      </c>
      <c r="H350" s="1">
        <v>20</v>
      </c>
      <c r="I350" s="1" t="s">
        <v>242</v>
      </c>
      <c r="J350" s="11">
        <v>45819</v>
      </c>
      <c r="K350" t="s">
        <v>92</v>
      </c>
    </row>
    <row r="351" spans="7:11" x14ac:dyDescent="0.3">
      <c r="G351" t="s">
        <v>234</v>
      </c>
      <c r="H351" s="1">
        <v>1400</v>
      </c>
      <c r="I351" s="1" t="s">
        <v>242</v>
      </c>
      <c r="J351" s="11">
        <v>45819</v>
      </c>
      <c r="K351" t="s">
        <v>90</v>
      </c>
    </row>
    <row r="352" spans="7:11" x14ac:dyDescent="0.3">
      <c r="G352" t="s">
        <v>149</v>
      </c>
      <c r="H352" s="1">
        <v>470</v>
      </c>
      <c r="I352" s="1" t="s">
        <v>242</v>
      </c>
      <c r="J352" s="11">
        <v>45819</v>
      </c>
      <c r="K352" t="s">
        <v>90</v>
      </c>
    </row>
    <row r="353" spans="7:11" x14ac:dyDescent="0.3">
      <c r="G353" t="s">
        <v>261</v>
      </c>
      <c r="H353" s="1">
        <v>36</v>
      </c>
      <c r="I353" s="1" t="s">
        <v>242</v>
      </c>
      <c r="J353" s="11">
        <v>45819</v>
      </c>
      <c r="K353" t="s">
        <v>97</v>
      </c>
    </row>
    <row r="354" spans="7:11" x14ac:dyDescent="0.3">
      <c r="G354" t="s">
        <v>217</v>
      </c>
      <c r="H354" s="1">
        <v>190</v>
      </c>
      <c r="I354" s="1" t="s">
        <v>242</v>
      </c>
      <c r="J354" s="11">
        <v>45819</v>
      </c>
      <c r="K354" t="s">
        <v>95</v>
      </c>
    </row>
    <row r="355" spans="7:11" x14ac:dyDescent="0.3">
      <c r="G355" t="s">
        <v>217</v>
      </c>
      <c r="H355" s="1">
        <v>80</v>
      </c>
      <c r="I355" s="1" t="s">
        <v>242</v>
      </c>
      <c r="J355" s="11">
        <v>45819</v>
      </c>
      <c r="K355" t="s">
        <v>95</v>
      </c>
    </row>
    <row r="356" spans="7:11" x14ac:dyDescent="0.3">
      <c r="G356" t="s">
        <v>248</v>
      </c>
      <c r="H356" s="1">
        <v>345</v>
      </c>
      <c r="I356" s="1" t="s">
        <v>242</v>
      </c>
      <c r="J356" s="11">
        <v>45820</v>
      </c>
      <c r="K356" t="s">
        <v>90</v>
      </c>
    </row>
    <row r="357" spans="7:11" x14ac:dyDescent="0.3">
      <c r="G357" t="s">
        <v>262</v>
      </c>
      <c r="H357" s="1">
        <v>560</v>
      </c>
      <c r="I357" s="1" t="s">
        <v>242</v>
      </c>
      <c r="J357" s="11">
        <v>45820</v>
      </c>
      <c r="K357" t="s">
        <v>90</v>
      </c>
    </row>
    <row r="358" spans="7:11" x14ac:dyDescent="0.3">
      <c r="G358" t="s">
        <v>143</v>
      </c>
      <c r="H358" s="1">
        <v>5</v>
      </c>
      <c r="I358" s="1" t="s">
        <v>242</v>
      </c>
      <c r="J358" s="11">
        <v>45820</v>
      </c>
      <c r="K358" t="s">
        <v>143</v>
      </c>
    </row>
    <row r="359" spans="7:11" x14ac:dyDescent="0.3">
      <c r="G359" t="s">
        <v>225</v>
      </c>
      <c r="H359" s="1">
        <v>1500</v>
      </c>
      <c r="I359" s="1" t="s">
        <v>242</v>
      </c>
      <c r="J359" s="11">
        <v>45820</v>
      </c>
      <c r="K359" t="s">
        <v>225</v>
      </c>
    </row>
    <row r="360" spans="7:11" x14ac:dyDescent="0.3">
      <c r="G360" t="s">
        <v>217</v>
      </c>
      <c r="H360" s="1">
        <v>120</v>
      </c>
      <c r="I360" s="1" t="s">
        <v>242</v>
      </c>
      <c r="J360" s="11">
        <v>45820</v>
      </c>
      <c r="K360" t="s">
        <v>95</v>
      </c>
    </row>
    <row r="361" spans="7:11" x14ac:dyDescent="0.3">
      <c r="G361" t="s">
        <v>73</v>
      </c>
      <c r="H361" s="1">
        <v>560</v>
      </c>
      <c r="I361" s="1" t="s">
        <v>242</v>
      </c>
      <c r="J361" s="11">
        <v>45821</v>
      </c>
      <c r="K361" t="s">
        <v>90</v>
      </c>
    </row>
    <row r="362" spans="7:11" x14ac:dyDescent="0.3">
      <c r="G362" t="s">
        <v>263</v>
      </c>
      <c r="H362" s="1">
        <v>256</v>
      </c>
      <c r="I362" s="1" t="s">
        <v>242</v>
      </c>
      <c r="J362" s="11">
        <v>45821</v>
      </c>
      <c r="K362" t="s">
        <v>96</v>
      </c>
    </row>
    <row r="363" spans="7:11" x14ac:dyDescent="0.3">
      <c r="G363" t="s">
        <v>215</v>
      </c>
      <c r="H363" s="1">
        <v>100</v>
      </c>
      <c r="I363" s="1" t="s">
        <v>242</v>
      </c>
      <c r="J363" s="11">
        <v>45821</v>
      </c>
      <c r="K363" t="s">
        <v>90</v>
      </c>
    </row>
    <row r="364" spans="7:11" x14ac:dyDescent="0.3">
      <c r="G364" t="s">
        <v>264</v>
      </c>
      <c r="H364" s="1">
        <v>210</v>
      </c>
      <c r="I364" s="1" t="s">
        <v>242</v>
      </c>
      <c r="J364" s="11">
        <v>45821</v>
      </c>
      <c r="K364" t="s">
        <v>96</v>
      </c>
    </row>
    <row r="365" spans="7:11" x14ac:dyDescent="0.3">
      <c r="G365" t="s">
        <v>33</v>
      </c>
      <c r="H365" s="1">
        <v>645</v>
      </c>
      <c r="I365" s="1" t="s">
        <v>242</v>
      </c>
      <c r="J365" s="11">
        <v>45821</v>
      </c>
      <c r="K365" t="s">
        <v>97</v>
      </c>
    </row>
    <row r="366" spans="7:11" x14ac:dyDescent="0.3">
      <c r="G366" t="s">
        <v>80</v>
      </c>
      <c r="H366" s="1">
        <v>1100</v>
      </c>
      <c r="I366" s="1" t="s">
        <v>242</v>
      </c>
      <c r="J366" s="11">
        <v>45821</v>
      </c>
      <c r="K366" t="s">
        <v>95</v>
      </c>
    </row>
    <row r="367" spans="7:11" x14ac:dyDescent="0.3">
      <c r="G367" t="s">
        <v>255</v>
      </c>
      <c r="H367" s="1">
        <v>100</v>
      </c>
      <c r="I367" s="1" t="s">
        <v>242</v>
      </c>
      <c r="J367" s="11">
        <v>45822</v>
      </c>
      <c r="K367" t="s">
        <v>90</v>
      </c>
    </row>
    <row r="368" spans="7:11" x14ac:dyDescent="0.3">
      <c r="G368" t="s">
        <v>205</v>
      </c>
      <c r="H368" s="1">
        <v>210</v>
      </c>
      <c r="I368" s="1" t="s">
        <v>242</v>
      </c>
      <c r="J368" s="11">
        <v>45822</v>
      </c>
      <c r="K368" t="s">
        <v>205</v>
      </c>
    </row>
    <row r="369" spans="7:11" x14ac:dyDescent="0.3">
      <c r="G369" t="s">
        <v>220</v>
      </c>
      <c r="H369" s="1">
        <v>950</v>
      </c>
      <c r="I369" s="1" t="s">
        <v>242</v>
      </c>
      <c r="J369" s="11">
        <v>45822</v>
      </c>
      <c r="K369" t="s">
        <v>90</v>
      </c>
    </row>
    <row r="370" spans="7:11" x14ac:dyDescent="0.3">
      <c r="G370" t="s">
        <v>132</v>
      </c>
      <c r="H370" s="1">
        <v>80</v>
      </c>
      <c r="I370" s="1" t="s">
        <v>242</v>
      </c>
      <c r="J370" s="11">
        <v>45822</v>
      </c>
      <c r="K370" t="s">
        <v>90</v>
      </c>
    </row>
    <row r="371" spans="7:11" x14ac:dyDescent="0.3">
      <c r="G371" t="s">
        <v>267</v>
      </c>
      <c r="H371" s="1">
        <v>910</v>
      </c>
      <c r="I371" s="1" t="s">
        <v>242</v>
      </c>
      <c r="J371" s="11">
        <v>45824</v>
      </c>
      <c r="K371" t="s">
        <v>95</v>
      </c>
    </row>
    <row r="372" spans="7:11" x14ac:dyDescent="0.3">
      <c r="G372" t="s">
        <v>265</v>
      </c>
      <c r="H372" s="1">
        <v>5000</v>
      </c>
      <c r="I372" s="1" t="s">
        <v>242</v>
      </c>
      <c r="J372" s="11">
        <v>45824</v>
      </c>
      <c r="K372" t="s">
        <v>2</v>
      </c>
    </row>
    <row r="373" spans="7:11" x14ac:dyDescent="0.3">
      <c r="G373" t="s">
        <v>143</v>
      </c>
      <c r="H373" s="1">
        <v>168.8</v>
      </c>
      <c r="I373" s="1" t="s">
        <v>242</v>
      </c>
      <c r="J373" s="11">
        <v>45824</v>
      </c>
      <c r="K373" t="s">
        <v>143</v>
      </c>
    </row>
    <row r="374" spans="7:11" x14ac:dyDescent="0.3">
      <c r="G374" t="s">
        <v>266</v>
      </c>
      <c r="H374" s="1">
        <v>15</v>
      </c>
      <c r="I374" s="1" t="s">
        <v>242</v>
      </c>
      <c r="J374" s="11">
        <v>45824</v>
      </c>
      <c r="K374" t="s">
        <v>96</v>
      </c>
    </row>
    <row r="375" spans="7:11" x14ac:dyDescent="0.3">
      <c r="G375" t="s">
        <v>149</v>
      </c>
      <c r="H375" s="1">
        <v>27</v>
      </c>
      <c r="I375" s="1" t="s">
        <v>242</v>
      </c>
      <c r="J375" s="11">
        <v>45824</v>
      </c>
      <c r="K375" t="s">
        <v>210</v>
      </c>
    </row>
    <row r="376" spans="7:11" x14ac:dyDescent="0.3">
      <c r="G376" t="s">
        <v>7</v>
      </c>
      <c r="H376" s="1">
        <v>1535</v>
      </c>
      <c r="I376" s="1" t="s">
        <v>242</v>
      </c>
      <c r="J376" s="11">
        <v>45824</v>
      </c>
      <c r="K376" t="s">
        <v>2</v>
      </c>
    </row>
    <row r="377" spans="7:11" x14ac:dyDescent="0.3">
      <c r="G377" t="s">
        <v>268</v>
      </c>
      <c r="H377" s="1">
        <v>320</v>
      </c>
      <c r="I377" s="1" t="s">
        <v>242</v>
      </c>
      <c r="J377" s="11">
        <v>45824</v>
      </c>
      <c r="K377" t="s">
        <v>91</v>
      </c>
    </row>
    <row r="378" spans="7:11" x14ac:dyDescent="0.3">
      <c r="G378" t="s">
        <v>269</v>
      </c>
      <c r="H378" s="1">
        <v>750</v>
      </c>
      <c r="I378" s="1" t="s">
        <v>242</v>
      </c>
      <c r="J378" s="11">
        <v>45824</v>
      </c>
      <c r="K378" t="s">
        <v>270</v>
      </c>
    </row>
    <row r="379" spans="7:11" x14ac:dyDescent="0.3">
      <c r="G379" t="s">
        <v>183</v>
      </c>
      <c r="H379" s="1">
        <v>200</v>
      </c>
      <c r="I379" s="1" t="s">
        <v>242</v>
      </c>
      <c r="J379" s="11">
        <v>45824</v>
      </c>
      <c r="K379" t="s">
        <v>230</v>
      </c>
    </row>
    <row r="380" spans="7:11" x14ac:dyDescent="0.3">
      <c r="G380" t="s">
        <v>238</v>
      </c>
      <c r="H380" s="1">
        <v>276</v>
      </c>
      <c r="I380" s="1" t="s">
        <v>242</v>
      </c>
      <c r="J380" s="11">
        <v>45824</v>
      </c>
      <c r="K380" t="s">
        <v>97</v>
      </c>
    </row>
    <row r="381" spans="7:11" x14ac:dyDescent="0.3">
      <c r="G381" t="s">
        <v>49</v>
      </c>
      <c r="H381" s="1">
        <v>165</v>
      </c>
      <c r="I381" s="1" t="s">
        <v>242</v>
      </c>
      <c r="J381" s="11">
        <v>45824</v>
      </c>
      <c r="K381" t="s">
        <v>95</v>
      </c>
    </row>
    <row r="382" spans="7:11" x14ac:dyDescent="0.3">
      <c r="G382" t="s">
        <v>79</v>
      </c>
      <c r="H382" s="1">
        <v>765</v>
      </c>
      <c r="I382" s="1" t="s">
        <v>242</v>
      </c>
      <c r="J382" s="11">
        <v>45825</v>
      </c>
      <c r="K382" t="s">
        <v>270</v>
      </c>
    </row>
    <row r="383" spans="7:11" x14ac:dyDescent="0.3">
      <c r="G383" t="s">
        <v>247</v>
      </c>
      <c r="H383" s="1">
        <v>400</v>
      </c>
      <c r="I383" s="1" t="s">
        <v>242</v>
      </c>
      <c r="J383" s="11">
        <v>45825</v>
      </c>
      <c r="K383" t="s">
        <v>270</v>
      </c>
    </row>
    <row r="384" spans="7:11" x14ac:dyDescent="0.3">
      <c r="G384" t="s">
        <v>206</v>
      </c>
      <c r="H384" s="1">
        <v>50</v>
      </c>
      <c r="I384" s="1" t="s">
        <v>242</v>
      </c>
      <c r="J384" s="11">
        <v>45825</v>
      </c>
      <c r="K384" t="s">
        <v>270</v>
      </c>
    </row>
    <row r="385" spans="7:11" x14ac:dyDescent="0.3">
      <c r="G385" t="s">
        <v>149</v>
      </c>
      <c r="H385" s="1">
        <v>10</v>
      </c>
      <c r="I385" s="1" t="s">
        <v>242</v>
      </c>
      <c r="J385" s="11">
        <v>45825</v>
      </c>
      <c r="K385" t="s">
        <v>210</v>
      </c>
    </row>
    <row r="386" spans="7:11" x14ac:dyDescent="0.3">
      <c r="G386" t="s">
        <v>217</v>
      </c>
      <c r="H386" s="1">
        <v>1050</v>
      </c>
      <c r="I386" s="1" t="s">
        <v>242</v>
      </c>
      <c r="J386" s="11">
        <v>45825</v>
      </c>
      <c r="K386" t="s">
        <v>95</v>
      </c>
    </row>
    <row r="387" spans="7:11" x14ac:dyDescent="0.3">
      <c r="G387" t="s">
        <v>149</v>
      </c>
      <c r="H387" s="1">
        <v>490</v>
      </c>
      <c r="I387" s="1" t="s">
        <v>242</v>
      </c>
      <c r="J387" s="11">
        <v>45826</v>
      </c>
      <c r="K387" t="s">
        <v>210</v>
      </c>
    </row>
    <row r="388" spans="7:11" x14ac:dyDescent="0.3">
      <c r="G388" t="s">
        <v>234</v>
      </c>
      <c r="H388" s="1">
        <v>900</v>
      </c>
      <c r="I388" s="1" t="s">
        <v>242</v>
      </c>
      <c r="J388" s="11">
        <v>45826</v>
      </c>
      <c r="K388" t="s">
        <v>270</v>
      </c>
    </row>
    <row r="389" spans="7:11" x14ac:dyDescent="0.3">
      <c r="G389" t="s">
        <v>218</v>
      </c>
      <c r="H389" s="1">
        <v>313.39999999999998</v>
      </c>
      <c r="I389" s="1" t="s">
        <v>242</v>
      </c>
      <c r="J389" s="11">
        <v>45826</v>
      </c>
      <c r="K389" t="s">
        <v>219</v>
      </c>
    </row>
    <row r="390" spans="7:11" x14ac:dyDescent="0.3">
      <c r="G390" t="s">
        <v>80</v>
      </c>
      <c r="H390" s="1">
        <v>850</v>
      </c>
      <c r="I390" s="1" t="s">
        <v>242</v>
      </c>
      <c r="J390" s="11">
        <v>45826</v>
      </c>
      <c r="K390" t="s">
        <v>95</v>
      </c>
    </row>
    <row r="391" spans="7:11" x14ac:dyDescent="0.3">
      <c r="G391" t="s">
        <v>271</v>
      </c>
      <c r="H391" s="1">
        <v>143.27000000000001</v>
      </c>
      <c r="I391" s="1" t="s">
        <v>242</v>
      </c>
      <c r="J391" s="11">
        <v>45827</v>
      </c>
      <c r="K391" t="s">
        <v>96</v>
      </c>
    </row>
    <row r="392" spans="7:11" x14ac:dyDescent="0.3">
      <c r="G392" t="s">
        <v>148</v>
      </c>
      <c r="H392" s="1">
        <v>250</v>
      </c>
      <c r="I392" s="1" t="s">
        <v>242</v>
      </c>
      <c r="J392" s="11">
        <v>45827</v>
      </c>
      <c r="K392" t="s">
        <v>96</v>
      </c>
    </row>
    <row r="393" spans="7:11" x14ac:dyDescent="0.3">
      <c r="G393" t="s">
        <v>143</v>
      </c>
      <c r="H393" s="1">
        <v>6.5</v>
      </c>
      <c r="I393" s="1" t="s">
        <v>242</v>
      </c>
      <c r="J393" s="11">
        <v>45827</v>
      </c>
      <c r="K393" t="s">
        <v>143</v>
      </c>
    </row>
    <row r="394" spans="7:11" x14ac:dyDescent="0.3">
      <c r="G394" t="s">
        <v>203</v>
      </c>
      <c r="H394" s="1">
        <v>340</v>
      </c>
      <c r="I394" s="1" t="s">
        <v>242</v>
      </c>
      <c r="J394" s="11">
        <v>45827</v>
      </c>
      <c r="K394" t="s">
        <v>90</v>
      </c>
    </row>
    <row r="395" spans="7:11" x14ac:dyDescent="0.3">
      <c r="G395" t="s">
        <v>149</v>
      </c>
      <c r="H395" s="1">
        <v>20</v>
      </c>
      <c r="I395" s="1" t="s">
        <v>242</v>
      </c>
      <c r="J395" s="11">
        <v>45827</v>
      </c>
      <c r="K395" t="s">
        <v>210</v>
      </c>
    </row>
    <row r="396" spans="7:11" x14ac:dyDescent="0.3">
      <c r="G396" t="s">
        <v>272</v>
      </c>
      <c r="H396" s="1">
        <v>400</v>
      </c>
      <c r="I396" s="1" t="s">
        <v>242</v>
      </c>
      <c r="J396" s="11">
        <v>45827</v>
      </c>
      <c r="K396" t="s">
        <v>97</v>
      </c>
    </row>
    <row r="397" spans="7:11" x14ac:dyDescent="0.3">
      <c r="G397" t="s">
        <v>217</v>
      </c>
      <c r="H397" s="1">
        <v>80</v>
      </c>
      <c r="I397" s="1" t="s">
        <v>242</v>
      </c>
      <c r="J397" s="11">
        <v>45827</v>
      </c>
      <c r="K397" t="s">
        <v>95</v>
      </c>
    </row>
    <row r="398" spans="7:11" x14ac:dyDescent="0.3">
      <c r="G398" t="s">
        <v>217</v>
      </c>
      <c r="H398" s="1">
        <v>60</v>
      </c>
      <c r="I398" s="1" t="s">
        <v>242</v>
      </c>
      <c r="J398" s="11">
        <v>45827</v>
      </c>
      <c r="K398" t="s">
        <v>95</v>
      </c>
    </row>
    <row r="399" spans="7:11" x14ac:dyDescent="0.3">
      <c r="G399" t="s">
        <v>148</v>
      </c>
      <c r="H399" s="1">
        <v>432</v>
      </c>
      <c r="I399" s="1" t="s">
        <v>242</v>
      </c>
      <c r="J399" s="11">
        <v>45828</v>
      </c>
      <c r="K399" t="s">
        <v>96</v>
      </c>
    </row>
    <row r="400" spans="7:11" x14ac:dyDescent="0.3">
      <c r="G400" t="s">
        <v>149</v>
      </c>
      <c r="H400" s="1">
        <v>14</v>
      </c>
      <c r="I400" s="1" t="s">
        <v>242</v>
      </c>
      <c r="J400" s="11">
        <v>45828</v>
      </c>
      <c r="K400" t="s">
        <v>210</v>
      </c>
    </row>
    <row r="401" spans="7:11" x14ac:dyDescent="0.3">
      <c r="G401" t="s">
        <v>143</v>
      </c>
      <c r="H401" s="1">
        <v>3</v>
      </c>
      <c r="I401" s="1" t="s">
        <v>242</v>
      </c>
      <c r="J401" s="11">
        <v>45828</v>
      </c>
      <c r="K401" t="s">
        <v>143</v>
      </c>
    </row>
    <row r="402" spans="7:11" x14ac:dyDescent="0.3">
      <c r="G402" t="s">
        <v>235</v>
      </c>
      <c r="H402" s="1">
        <v>300</v>
      </c>
      <c r="I402" s="1" t="s">
        <v>242</v>
      </c>
      <c r="J402" s="11">
        <v>45828</v>
      </c>
      <c r="K402" t="s">
        <v>90</v>
      </c>
    </row>
    <row r="403" spans="7:11" x14ac:dyDescent="0.3">
      <c r="G403" t="s">
        <v>215</v>
      </c>
      <c r="H403" s="1">
        <v>210</v>
      </c>
      <c r="I403" s="1" t="s">
        <v>242</v>
      </c>
      <c r="J403" s="11">
        <v>45828</v>
      </c>
      <c r="K403" t="s">
        <v>90</v>
      </c>
    </row>
    <row r="404" spans="7:11" x14ac:dyDescent="0.3">
      <c r="G404" t="s">
        <v>73</v>
      </c>
      <c r="H404" s="1">
        <v>920</v>
      </c>
      <c r="I404" s="1" t="s">
        <v>242</v>
      </c>
      <c r="J404" s="11">
        <v>45828</v>
      </c>
      <c r="K404" t="s">
        <v>90</v>
      </c>
    </row>
    <row r="405" spans="7:11" x14ac:dyDescent="0.3">
      <c r="G405" t="s">
        <v>162</v>
      </c>
      <c r="H405" s="1">
        <v>905</v>
      </c>
      <c r="I405" s="1" t="s">
        <v>242</v>
      </c>
      <c r="J405" s="11">
        <v>45828</v>
      </c>
      <c r="K405" t="s">
        <v>162</v>
      </c>
    </row>
    <row r="406" spans="7:11" x14ac:dyDescent="0.3">
      <c r="G406" t="s">
        <v>238</v>
      </c>
      <c r="H406" s="1">
        <v>225</v>
      </c>
      <c r="I406" s="1" t="s">
        <v>242</v>
      </c>
      <c r="J406" s="11">
        <v>45828</v>
      </c>
      <c r="K406" t="s">
        <v>97</v>
      </c>
    </row>
    <row r="407" spans="7:11" x14ac:dyDescent="0.3">
      <c r="G407" t="s">
        <v>238</v>
      </c>
      <c r="H407" s="1">
        <v>210</v>
      </c>
      <c r="I407" s="1" t="s">
        <v>242</v>
      </c>
      <c r="J407" s="11">
        <v>45828</v>
      </c>
      <c r="K407" t="s">
        <v>97</v>
      </c>
    </row>
    <row r="408" spans="7:11" x14ac:dyDescent="0.3">
      <c r="G408" t="s">
        <v>33</v>
      </c>
      <c r="H408" s="1">
        <v>645</v>
      </c>
      <c r="I408" s="1" t="s">
        <v>242</v>
      </c>
      <c r="J408" s="11">
        <v>45828</v>
      </c>
      <c r="K408" t="s">
        <v>97</v>
      </c>
    </row>
    <row r="409" spans="7:11" x14ac:dyDescent="0.3">
      <c r="G409" t="s">
        <v>217</v>
      </c>
      <c r="H409" s="1">
        <v>40</v>
      </c>
      <c r="I409" s="1" t="s">
        <v>242</v>
      </c>
      <c r="J409" s="11">
        <v>45828</v>
      </c>
      <c r="K409" t="s">
        <v>95</v>
      </c>
    </row>
    <row r="410" spans="7:11" x14ac:dyDescent="0.3">
      <c r="G410" t="s">
        <v>274</v>
      </c>
      <c r="H410" s="1">
        <v>35.5</v>
      </c>
      <c r="I410" s="1" t="s">
        <v>242</v>
      </c>
      <c r="J410" s="11">
        <v>45829</v>
      </c>
      <c r="K410" t="s">
        <v>97</v>
      </c>
    </row>
    <row r="411" spans="7:11" x14ac:dyDescent="0.3">
      <c r="G411" t="s">
        <v>45</v>
      </c>
      <c r="H411" s="1">
        <v>300</v>
      </c>
      <c r="I411" s="1" t="s">
        <v>242</v>
      </c>
      <c r="J411" s="11">
        <v>45829</v>
      </c>
      <c r="K411" t="s">
        <v>97</v>
      </c>
    </row>
    <row r="412" spans="7:11" x14ac:dyDescent="0.3">
      <c r="G412" t="s">
        <v>220</v>
      </c>
      <c r="H412" s="1">
        <v>875</v>
      </c>
      <c r="I412" s="1" t="s">
        <v>242</v>
      </c>
      <c r="J412" s="11">
        <v>45829</v>
      </c>
      <c r="K412" t="s">
        <v>90</v>
      </c>
    </row>
    <row r="413" spans="7:11" x14ac:dyDescent="0.3">
      <c r="G413" t="s">
        <v>273</v>
      </c>
      <c r="H413" s="1">
        <v>450</v>
      </c>
      <c r="I413" s="1" t="s">
        <v>242</v>
      </c>
      <c r="J413" s="11">
        <v>45829</v>
      </c>
      <c r="K413" t="s">
        <v>90</v>
      </c>
    </row>
    <row r="414" spans="7:11" x14ac:dyDescent="0.3">
      <c r="G414" t="s">
        <v>143</v>
      </c>
      <c r="H414" s="1">
        <v>41</v>
      </c>
      <c r="I414" s="1" t="s">
        <v>242</v>
      </c>
      <c r="J414" s="11">
        <v>45829</v>
      </c>
      <c r="K414" t="s">
        <v>143</v>
      </c>
    </row>
    <row r="415" spans="7:11" x14ac:dyDescent="0.3">
      <c r="G415" t="s">
        <v>44</v>
      </c>
      <c r="H415" s="1">
        <v>220</v>
      </c>
      <c r="I415" s="1" t="s">
        <v>242</v>
      </c>
      <c r="J415" s="11">
        <v>45829</v>
      </c>
      <c r="K415" t="s">
        <v>97</v>
      </c>
    </row>
    <row r="416" spans="7:11" x14ac:dyDescent="0.3">
      <c r="G416" t="s">
        <v>276</v>
      </c>
      <c r="H416" s="1">
        <v>560</v>
      </c>
      <c r="I416" s="1" t="s">
        <v>242</v>
      </c>
      <c r="J416" s="11">
        <v>45833</v>
      </c>
      <c r="K416" t="s">
        <v>95</v>
      </c>
    </row>
    <row r="417" spans="7:11" x14ac:dyDescent="0.3">
      <c r="G417" t="s">
        <v>205</v>
      </c>
      <c r="H417" s="1">
        <v>270</v>
      </c>
      <c r="I417" s="1" t="s">
        <v>242</v>
      </c>
      <c r="J417" s="11">
        <v>45833</v>
      </c>
      <c r="K417" t="s">
        <v>205</v>
      </c>
    </row>
    <row r="418" spans="7:11" x14ac:dyDescent="0.3">
      <c r="G418" t="s">
        <v>143</v>
      </c>
      <c r="H418" s="1">
        <v>3.25</v>
      </c>
      <c r="I418" s="1" t="s">
        <v>242</v>
      </c>
      <c r="J418" s="11">
        <v>45833</v>
      </c>
      <c r="K418" t="s">
        <v>143</v>
      </c>
    </row>
    <row r="419" spans="7:11" x14ac:dyDescent="0.3">
      <c r="G419" t="s">
        <v>143</v>
      </c>
      <c r="H419" s="1">
        <v>5.57</v>
      </c>
      <c r="I419" s="1" t="s">
        <v>242</v>
      </c>
      <c r="J419" s="11">
        <v>45833</v>
      </c>
      <c r="K419" t="s">
        <v>143</v>
      </c>
    </row>
    <row r="420" spans="7:11" x14ac:dyDescent="0.3">
      <c r="G420" t="s">
        <v>143</v>
      </c>
      <c r="H420" s="1">
        <v>5</v>
      </c>
      <c r="I420" s="1" t="s">
        <v>242</v>
      </c>
      <c r="J420" s="11">
        <v>45833</v>
      </c>
      <c r="K420" t="s">
        <v>143</v>
      </c>
    </row>
    <row r="421" spans="7:11" x14ac:dyDescent="0.3">
      <c r="G421" t="s">
        <v>251</v>
      </c>
      <c r="H421" s="1">
        <v>17</v>
      </c>
      <c r="I421" s="1" t="s">
        <v>242</v>
      </c>
      <c r="J421" s="11">
        <v>45833</v>
      </c>
      <c r="K421" t="s">
        <v>275</v>
      </c>
    </row>
    <row r="422" spans="7:11" x14ac:dyDescent="0.3">
      <c r="G422" t="s">
        <v>227</v>
      </c>
      <c r="H422" s="1">
        <v>650</v>
      </c>
      <c r="I422" s="1" t="s">
        <v>242</v>
      </c>
      <c r="J422" s="11">
        <v>45833</v>
      </c>
      <c r="K422" t="s">
        <v>90</v>
      </c>
    </row>
    <row r="423" spans="7:11" x14ac:dyDescent="0.3">
      <c r="G423" t="s">
        <v>251</v>
      </c>
      <c r="H423" s="1">
        <v>30</v>
      </c>
      <c r="I423" s="1" t="s">
        <v>242</v>
      </c>
      <c r="J423" s="11">
        <v>45833</v>
      </c>
      <c r="K423" t="s">
        <v>275</v>
      </c>
    </row>
    <row r="424" spans="7:11" x14ac:dyDescent="0.3">
      <c r="G424" t="s">
        <v>149</v>
      </c>
      <c r="H424" s="1">
        <v>68</v>
      </c>
      <c r="I424" s="1" t="s">
        <v>242</v>
      </c>
      <c r="J424" s="11">
        <v>45833</v>
      </c>
      <c r="K424" t="s">
        <v>210</v>
      </c>
    </row>
    <row r="425" spans="7:11" x14ac:dyDescent="0.3">
      <c r="G425" t="s">
        <v>217</v>
      </c>
      <c r="H425" s="1">
        <v>820</v>
      </c>
      <c r="I425" s="1" t="s">
        <v>242</v>
      </c>
      <c r="J425" s="11">
        <v>45833</v>
      </c>
      <c r="K425" t="s">
        <v>95</v>
      </c>
    </row>
    <row r="426" spans="7:11" x14ac:dyDescent="0.3">
      <c r="G426" t="s">
        <v>49</v>
      </c>
      <c r="H426" s="1">
        <v>550</v>
      </c>
      <c r="I426" s="1" t="s">
        <v>242</v>
      </c>
      <c r="J426" s="11">
        <v>45833</v>
      </c>
      <c r="K426" t="s">
        <v>95</v>
      </c>
    </row>
    <row r="427" spans="7:11" x14ac:dyDescent="0.3">
      <c r="G427" t="s">
        <v>117</v>
      </c>
      <c r="H427" s="1">
        <v>300</v>
      </c>
      <c r="I427" s="1" t="s">
        <v>242</v>
      </c>
      <c r="J427" s="11">
        <v>45834</v>
      </c>
      <c r="K427" t="s">
        <v>90</v>
      </c>
    </row>
    <row r="428" spans="7:11" x14ac:dyDescent="0.3">
      <c r="G428" t="s">
        <v>149</v>
      </c>
      <c r="H428" s="1">
        <v>85</v>
      </c>
      <c r="I428" s="1" t="s">
        <v>242</v>
      </c>
      <c r="J428" s="11">
        <v>45834</v>
      </c>
      <c r="K428" t="s">
        <v>210</v>
      </c>
    </row>
    <row r="429" spans="7:11" x14ac:dyDescent="0.3">
      <c r="G429" t="s">
        <v>277</v>
      </c>
      <c r="H429" s="1">
        <v>780</v>
      </c>
      <c r="I429" s="1" t="s">
        <v>242</v>
      </c>
      <c r="J429" s="11">
        <v>45834</v>
      </c>
      <c r="K429" t="s">
        <v>90</v>
      </c>
    </row>
    <row r="430" spans="7:11" x14ac:dyDescent="0.3">
      <c r="G430" t="s">
        <v>60</v>
      </c>
      <c r="H430" s="1">
        <v>15</v>
      </c>
      <c r="I430" s="1" t="s">
        <v>242</v>
      </c>
      <c r="J430" s="11">
        <v>45834</v>
      </c>
      <c r="K430" t="s">
        <v>96</v>
      </c>
    </row>
    <row r="431" spans="7:11" x14ac:dyDescent="0.3">
      <c r="G431" t="s">
        <v>224</v>
      </c>
      <c r="H431" s="1">
        <v>268.8</v>
      </c>
      <c r="I431" s="1" t="s">
        <v>242</v>
      </c>
      <c r="J431" s="11">
        <v>45834</v>
      </c>
      <c r="K431" t="s">
        <v>96</v>
      </c>
    </row>
    <row r="432" spans="7:11" x14ac:dyDescent="0.3">
      <c r="G432" t="s">
        <v>278</v>
      </c>
      <c r="H432" s="1">
        <v>135</v>
      </c>
      <c r="I432" s="1" t="s">
        <v>242</v>
      </c>
      <c r="J432" s="11">
        <v>45834</v>
      </c>
      <c r="K432" t="s">
        <v>96</v>
      </c>
    </row>
    <row r="433" spans="7:11" x14ac:dyDescent="0.3">
      <c r="G433" t="s">
        <v>238</v>
      </c>
      <c r="H433" s="1">
        <v>100</v>
      </c>
      <c r="I433" s="1" t="s">
        <v>242</v>
      </c>
      <c r="J433" s="11">
        <v>45834</v>
      </c>
      <c r="K433" t="s">
        <v>97</v>
      </c>
    </row>
    <row r="434" spans="7:11" x14ac:dyDescent="0.3">
      <c r="G434" t="s">
        <v>217</v>
      </c>
      <c r="H434" s="1">
        <v>80</v>
      </c>
      <c r="I434" s="1" t="s">
        <v>242</v>
      </c>
      <c r="J434" s="11">
        <v>45834</v>
      </c>
      <c r="K434" t="s">
        <v>95</v>
      </c>
    </row>
    <row r="435" spans="7:11" x14ac:dyDescent="0.3">
      <c r="G435" t="s">
        <v>73</v>
      </c>
      <c r="H435" s="1">
        <v>460</v>
      </c>
      <c r="I435" s="1" t="s">
        <v>242</v>
      </c>
      <c r="J435" s="11">
        <v>45835</v>
      </c>
      <c r="K435" t="s">
        <v>90</v>
      </c>
    </row>
    <row r="436" spans="7:11" x14ac:dyDescent="0.3">
      <c r="G436" t="s">
        <v>248</v>
      </c>
      <c r="H436" s="1">
        <v>460</v>
      </c>
      <c r="I436" s="1" t="s">
        <v>242</v>
      </c>
      <c r="J436" s="11">
        <v>45835</v>
      </c>
      <c r="K436" t="s">
        <v>90</v>
      </c>
    </row>
    <row r="437" spans="7:11" x14ac:dyDescent="0.3">
      <c r="G437" t="s">
        <v>238</v>
      </c>
      <c r="H437" s="1">
        <v>435</v>
      </c>
      <c r="I437" s="1" t="s">
        <v>242</v>
      </c>
      <c r="J437" s="11">
        <v>45835</v>
      </c>
      <c r="K437" t="s">
        <v>97</v>
      </c>
    </row>
    <row r="438" spans="7:11" x14ac:dyDescent="0.3">
      <c r="G438" t="s">
        <v>33</v>
      </c>
      <c r="H438" s="1">
        <v>645</v>
      </c>
      <c r="I438" s="1" t="s">
        <v>242</v>
      </c>
      <c r="J438" s="11">
        <v>45835</v>
      </c>
      <c r="K438" t="s">
        <v>97</v>
      </c>
    </row>
    <row r="439" spans="7:11" x14ac:dyDescent="0.3">
      <c r="G439" t="s">
        <v>220</v>
      </c>
      <c r="H439" s="1">
        <v>830</v>
      </c>
      <c r="I439" s="1" t="s">
        <v>242</v>
      </c>
      <c r="J439" s="11">
        <v>45836</v>
      </c>
      <c r="K439" t="s">
        <v>90</v>
      </c>
    </row>
    <row r="440" spans="7:11" x14ac:dyDescent="0.3">
      <c r="G440" t="s">
        <v>205</v>
      </c>
      <c r="H440" s="1">
        <v>270</v>
      </c>
      <c r="I440" s="1" t="s">
        <v>242</v>
      </c>
      <c r="J440" s="11">
        <v>45836</v>
      </c>
      <c r="K440" t="s">
        <v>205</v>
      </c>
    </row>
    <row r="441" spans="7:11" x14ac:dyDescent="0.3">
      <c r="G441" t="s">
        <v>132</v>
      </c>
      <c r="H441" s="1">
        <v>40</v>
      </c>
      <c r="I441" s="1" t="s">
        <v>242</v>
      </c>
      <c r="J441" s="11">
        <v>45838</v>
      </c>
      <c r="K441" t="s">
        <v>90</v>
      </c>
    </row>
    <row r="442" spans="7:11" x14ac:dyDescent="0.3">
      <c r="G442" t="s">
        <v>143</v>
      </c>
      <c r="H442" s="1">
        <v>30</v>
      </c>
      <c r="I442" s="1" t="s">
        <v>242</v>
      </c>
      <c r="J442" s="11">
        <v>45838</v>
      </c>
      <c r="K442" t="s">
        <v>143</v>
      </c>
    </row>
    <row r="443" spans="7:11" x14ac:dyDescent="0.3">
      <c r="G443" t="s">
        <v>279</v>
      </c>
      <c r="H443" s="1">
        <v>50</v>
      </c>
      <c r="I443" s="1" t="s">
        <v>242</v>
      </c>
      <c r="J443" s="11">
        <v>45838</v>
      </c>
      <c r="K443" t="s">
        <v>90</v>
      </c>
    </row>
    <row r="444" spans="7:11" x14ac:dyDescent="0.3">
      <c r="G444" t="s">
        <v>143</v>
      </c>
      <c r="H444" s="1">
        <v>30</v>
      </c>
      <c r="I444" s="1" t="s">
        <v>242</v>
      </c>
      <c r="J444" s="11">
        <v>45838</v>
      </c>
      <c r="K444" t="s">
        <v>143</v>
      </c>
    </row>
    <row r="445" spans="7:11" x14ac:dyDescent="0.3">
      <c r="G445" t="s">
        <v>280</v>
      </c>
      <c r="H445" s="1">
        <v>154</v>
      </c>
      <c r="I445" s="1" t="s">
        <v>242</v>
      </c>
      <c r="J445" s="11">
        <v>45838</v>
      </c>
      <c r="K445" t="s">
        <v>281</v>
      </c>
    </row>
    <row r="446" spans="7:11" x14ac:dyDescent="0.3">
      <c r="G446" t="s">
        <v>269</v>
      </c>
      <c r="H446" s="1">
        <v>519.70000000000005</v>
      </c>
      <c r="I446" s="1" t="s">
        <v>242</v>
      </c>
      <c r="J446" s="11">
        <v>45838</v>
      </c>
      <c r="K446" t="s">
        <v>90</v>
      </c>
    </row>
    <row r="447" spans="7:11" x14ac:dyDescent="0.3">
      <c r="G447" t="s">
        <v>218</v>
      </c>
      <c r="H447" s="1">
        <v>651.69000000000005</v>
      </c>
      <c r="I447" s="1" t="s">
        <v>242</v>
      </c>
      <c r="J447" s="11">
        <v>45838</v>
      </c>
      <c r="K447" t="s">
        <v>219</v>
      </c>
    </row>
    <row r="448" spans="7:11" x14ac:dyDescent="0.3">
      <c r="G448" t="s">
        <v>209</v>
      </c>
      <c r="H448" s="1">
        <v>660</v>
      </c>
      <c r="I448" s="1" t="s">
        <v>242</v>
      </c>
      <c r="J448" s="11">
        <v>45838</v>
      </c>
      <c r="K448" t="s">
        <v>90</v>
      </c>
    </row>
    <row r="449" spans="7:11" x14ac:dyDescent="0.3">
      <c r="G449" t="s">
        <v>61</v>
      </c>
      <c r="H449" s="1">
        <v>750</v>
      </c>
      <c r="I449" s="1" t="s">
        <v>242</v>
      </c>
      <c r="J449" s="11">
        <v>45838</v>
      </c>
      <c r="K449" t="s">
        <v>61</v>
      </c>
    </row>
    <row r="450" spans="7:11" x14ac:dyDescent="0.3">
      <c r="G450" t="s">
        <v>49</v>
      </c>
      <c r="H450" s="1">
        <v>330</v>
      </c>
      <c r="I450" s="1" t="s">
        <v>242</v>
      </c>
      <c r="J450" s="11">
        <v>45838</v>
      </c>
      <c r="K450" t="s">
        <v>95</v>
      </c>
    </row>
    <row r="451" spans="7:11" x14ac:dyDescent="0.3">
      <c r="G451" t="s">
        <v>282</v>
      </c>
      <c r="H451" s="1">
        <v>1500</v>
      </c>
      <c r="I451" s="1" t="s">
        <v>283</v>
      </c>
      <c r="J451" s="11">
        <v>45839</v>
      </c>
      <c r="K451" t="s">
        <v>91</v>
      </c>
    </row>
    <row r="452" spans="7:11" x14ac:dyDescent="0.3">
      <c r="G452" t="s">
        <v>260</v>
      </c>
      <c r="H452" s="1">
        <v>2200</v>
      </c>
      <c r="I452" s="1" t="s">
        <v>283</v>
      </c>
      <c r="J452" s="11">
        <v>45839</v>
      </c>
      <c r="K452" t="s">
        <v>2</v>
      </c>
    </row>
    <row r="453" spans="7:11" x14ac:dyDescent="0.3">
      <c r="G453" t="s">
        <v>284</v>
      </c>
      <c r="H453" s="1">
        <v>295</v>
      </c>
      <c r="I453" s="1" t="s">
        <v>283</v>
      </c>
      <c r="J453" s="11">
        <v>45839</v>
      </c>
      <c r="K453" t="s">
        <v>275</v>
      </c>
    </row>
    <row r="454" spans="7:11" x14ac:dyDescent="0.3">
      <c r="G454" t="s">
        <v>143</v>
      </c>
      <c r="H454" s="1">
        <v>10</v>
      </c>
      <c r="I454" s="1" t="s">
        <v>283</v>
      </c>
      <c r="J454" s="11">
        <v>45839</v>
      </c>
      <c r="K454" t="s">
        <v>143</v>
      </c>
    </row>
    <row r="455" spans="7:11" x14ac:dyDescent="0.3">
      <c r="G455" t="s">
        <v>285</v>
      </c>
      <c r="H455" s="1">
        <v>231.1</v>
      </c>
      <c r="I455" s="1" t="s">
        <v>283</v>
      </c>
      <c r="J455" s="11">
        <v>45839</v>
      </c>
      <c r="K455" t="s">
        <v>96</v>
      </c>
    </row>
    <row r="456" spans="7:11" x14ac:dyDescent="0.3">
      <c r="G456" t="s">
        <v>207</v>
      </c>
      <c r="H456" s="1">
        <v>1724</v>
      </c>
      <c r="I456" s="1" t="s">
        <v>283</v>
      </c>
      <c r="J456" s="11">
        <v>45839</v>
      </c>
      <c r="K456" t="s">
        <v>91</v>
      </c>
    </row>
    <row r="457" spans="7:11" x14ac:dyDescent="0.3">
      <c r="G457" t="s">
        <v>129</v>
      </c>
      <c r="H457" s="1">
        <v>2000</v>
      </c>
      <c r="I457" s="1" t="s">
        <v>283</v>
      </c>
      <c r="J457" s="11">
        <v>45839</v>
      </c>
      <c r="K457" t="s">
        <v>91</v>
      </c>
    </row>
    <row r="458" spans="7:11" x14ac:dyDescent="0.3">
      <c r="G458" t="s">
        <v>130</v>
      </c>
      <c r="H458" s="1">
        <v>4000</v>
      </c>
      <c r="I458" s="1" t="s">
        <v>283</v>
      </c>
      <c r="J458" s="11">
        <v>45839</v>
      </c>
      <c r="K458" t="s">
        <v>91</v>
      </c>
    </row>
    <row r="459" spans="7:11" x14ac:dyDescent="0.3">
      <c r="G459" t="s">
        <v>208</v>
      </c>
      <c r="H459" s="1">
        <v>240.21</v>
      </c>
      <c r="I459" s="1" t="s">
        <v>283</v>
      </c>
      <c r="J459" s="11">
        <v>45839</v>
      </c>
      <c r="K459" t="s">
        <v>91</v>
      </c>
    </row>
    <row r="460" spans="7:11" x14ac:dyDescent="0.3">
      <c r="G460" t="s">
        <v>140</v>
      </c>
      <c r="H460" s="1">
        <v>471.5</v>
      </c>
      <c r="I460" s="1" t="s">
        <v>283</v>
      </c>
      <c r="J460" s="11">
        <v>45839</v>
      </c>
      <c r="K460" t="s">
        <v>91</v>
      </c>
    </row>
    <row r="461" spans="7:11" x14ac:dyDescent="0.3">
      <c r="G461" t="s">
        <v>286</v>
      </c>
      <c r="H461" s="1">
        <v>800</v>
      </c>
      <c r="I461" s="1" t="s">
        <v>283</v>
      </c>
      <c r="J461" s="11">
        <v>45839</v>
      </c>
      <c r="K461" t="s">
        <v>91</v>
      </c>
    </row>
    <row r="462" spans="7:11" x14ac:dyDescent="0.3">
      <c r="G462" t="s">
        <v>287</v>
      </c>
      <c r="H462" s="1">
        <v>197.8</v>
      </c>
      <c r="I462" s="1" t="s">
        <v>283</v>
      </c>
      <c r="J462" s="11">
        <v>45839</v>
      </c>
      <c r="K462" t="s">
        <v>91</v>
      </c>
    </row>
    <row r="463" spans="7:11" x14ac:dyDescent="0.3">
      <c r="G463" t="s">
        <v>288</v>
      </c>
      <c r="H463" s="1">
        <v>40</v>
      </c>
      <c r="I463" s="1" t="s">
        <v>283</v>
      </c>
      <c r="J463" s="11">
        <v>45839</v>
      </c>
      <c r="K463" t="s">
        <v>96</v>
      </c>
    </row>
    <row r="464" spans="7:11" x14ac:dyDescent="0.3">
      <c r="G464" t="s">
        <v>289</v>
      </c>
      <c r="H464" s="1">
        <v>370</v>
      </c>
      <c r="I464" s="1" t="s">
        <v>283</v>
      </c>
      <c r="J464" s="11">
        <v>45839</v>
      </c>
      <c r="K464" t="s">
        <v>90</v>
      </c>
    </row>
    <row r="465" spans="7:11" x14ac:dyDescent="0.3">
      <c r="G465" t="s">
        <v>79</v>
      </c>
      <c r="H465" s="1">
        <v>60</v>
      </c>
      <c r="I465" s="1" t="s">
        <v>283</v>
      </c>
      <c r="J465" s="11">
        <v>45839</v>
      </c>
      <c r="K465" t="s">
        <v>90</v>
      </c>
    </row>
    <row r="466" spans="7:11" x14ac:dyDescent="0.3">
      <c r="G466" t="s">
        <v>251</v>
      </c>
      <c r="H466" s="1">
        <v>65</v>
      </c>
      <c r="I466" s="1" t="s">
        <v>283</v>
      </c>
      <c r="J466" s="11">
        <v>45839</v>
      </c>
      <c r="K466" t="s">
        <v>97</v>
      </c>
    </row>
    <row r="467" spans="7:11" x14ac:dyDescent="0.3">
      <c r="G467" t="s">
        <v>190</v>
      </c>
      <c r="H467" s="1">
        <v>170</v>
      </c>
      <c r="I467" s="1" t="s">
        <v>283</v>
      </c>
      <c r="J467" s="11">
        <v>45840</v>
      </c>
      <c r="K467" t="s">
        <v>170</v>
      </c>
    </row>
    <row r="468" spans="7:11" x14ac:dyDescent="0.3">
      <c r="G468" t="s">
        <v>290</v>
      </c>
      <c r="H468" s="1">
        <v>30</v>
      </c>
      <c r="I468" s="1" t="s">
        <v>283</v>
      </c>
      <c r="J468" s="11">
        <v>45840</v>
      </c>
      <c r="K468" t="s">
        <v>275</v>
      </c>
    </row>
    <row r="469" spans="7:11" x14ac:dyDescent="0.3">
      <c r="G469" t="s">
        <v>143</v>
      </c>
      <c r="H469" s="1">
        <v>15</v>
      </c>
      <c r="I469" s="1" t="s">
        <v>283</v>
      </c>
      <c r="J469" s="11">
        <v>45840</v>
      </c>
      <c r="K469" t="s">
        <v>143</v>
      </c>
    </row>
    <row r="470" spans="7:11" x14ac:dyDescent="0.3">
      <c r="G470" t="s">
        <v>149</v>
      </c>
      <c r="H470" s="1">
        <v>175</v>
      </c>
      <c r="I470" s="1" t="s">
        <v>283</v>
      </c>
      <c r="J470" s="11">
        <v>45840</v>
      </c>
      <c r="K470" t="s">
        <v>149</v>
      </c>
    </row>
    <row r="471" spans="7:11" x14ac:dyDescent="0.3">
      <c r="G471" t="s">
        <v>239</v>
      </c>
      <c r="H471" s="1">
        <v>200</v>
      </c>
      <c r="I471" s="1" t="s">
        <v>283</v>
      </c>
      <c r="J471" s="11">
        <v>45840</v>
      </c>
      <c r="K471" t="s">
        <v>270</v>
      </c>
    </row>
    <row r="472" spans="7:11" x14ac:dyDescent="0.3">
      <c r="G472" t="s">
        <v>291</v>
      </c>
      <c r="H472" s="1">
        <v>450</v>
      </c>
      <c r="I472" s="1" t="s">
        <v>283</v>
      </c>
      <c r="J472" s="11">
        <v>45840</v>
      </c>
      <c r="K472" t="s">
        <v>91</v>
      </c>
    </row>
    <row r="473" spans="7:11" x14ac:dyDescent="0.3">
      <c r="G473" t="s">
        <v>143</v>
      </c>
      <c r="H473" s="1">
        <v>25</v>
      </c>
      <c r="I473" s="1" t="s">
        <v>283</v>
      </c>
      <c r="J473" s="11">
        <v>45841</v>
      </c>
      <c r="K473" t="s">
        <v>143</v>
      </c>
    </row>
    <row r="474" spans="7:11" x14ac:dyDescent="0.3">
      <c r="G474" t="s">
        <v>60</v>
      </c>
      <c r="H474" s="1">
        <v>20</v>
      </c>
      <c r="I474" s="1" t="s">
        <v>283</v>
      </c>
      <c r="J474" s="11">
        <v>45841</v>
      </c>
      <c r="K474" t="s">
        <v>96</v>
      </c>
    </row>
    <row r="475" spans="7:11" x14ac:dyDescent="0.3">
      <c r="G475" t="s">
        <v>292</v>
      </c>
      <c r="H475" s="1">
        <v>150</v>
      </c>
      <c r="I475" s="1" t="s">
        <v>283</v>
      </c>
      <c r="J475" s="11">
        <v>45841</v>
      </c>
      <c r="K475" t="s">
        <v>275</v>
      </c>
    </row>
    <row r="476" spans="7:11" x14ac:dyDescent="0.3">
      <c r="G476" t="s">
        <v>234</v>
      </c>
      <c r="H476" s="1">
        <v>540</v>
      </c>
      <c r="I476" s="1" t="s">
        <v>283</v>
      </c>
      <c r="J476" s="11">
        <v>45841</v>
      </c>
      <c r="K476" t="s">
        <v>270</v>
      </c>
    </row>
    <row r="477" spans="7:11" x14ac:dyDescent="0.3">
      <c r="G477" t="s">
        <v>33</v>
      </c>
      <c r="H477" s="1">
        <v>450</v>
      </c>
      <c r="I477" s="1" t="s">
        <v>283</v>
      </c>
      <c r="J477" s="11">
        <v>45841</v>
      </c>
      <c r="K477" t="s">
        <v>97</v>
      </c>
    </row>
    <row r="478" spans="7:11" x14ac:dyDescent="0.3">
      <c r="G478" t="s">
        <v>217</v>
      </c>
      <c r="H478" s="1">
        <v>120</v>
      </c>
      <c r="I478" s="1" t="s">
        <v>283</v>
      </c>
      <c r="J478" s="11">
        <v>45841</v>
      </c>
      <c r="K478" t="s">
        <v>95</v>
      </c>
    </row>
    <row r="479" spans="7:11" x14ac:dyDescent="0.3">
      <c r="G479" t="s">
        <v>49</v>
      </c>
      <c r="H479" s="1">
        <v>345</v>
      </c>
      <c r="I479" s="1" t="s">
        <v>283</v>
      </c>
      <c r="J479" s="11">
        <v>45841</v>
      </c>
      <c r="K479" t="s">
        <v>95</v>
      </c>
    </row>
    <row r="480" spans="7:11" x14ac:dyDescent="0.3">
      <c r="G480" t="s">
        <v>229</v>
      </c>
      <c r="H480" s="1">
        <v>280</v>
      </c>
      <c r="I480" s="1" t="s">
        <v>283</v>
      </c>
      <c r="J480" s="11">
        <v>45842</v>
      </c>
      <c r="K480" t="s">
        <v>95</v>
      </c>
    </row>
    <row r="481" spans="7:11" x14ac:dyDescent="0.3">
      <c r="G481" t="s">
        <v>293</v>
      </c>
      <c r="H481" s="1">
        <v>40</v>
      </c>
      <c r="I481" s="1" t="s">
        <v>283</v>
      </c>
      <c r="J481" s="11">
        <v>45842</v>
      </c>
      <c r="K481" t="s">
        <v>270</v>
      </c>
    </row>
    <row r="482" spans="7:11" x14ac:dyDescent="0.3">
      <c r="G482" t="s">
        <v>215</v>
      </c>
      <c r="H482" s="1">
        <v>130</v>
      </c>
      <c r="I482" s="1" t="s">
        <v>283</v>
      </c>
      <c r="J482" s="11">
        <v>45842</v>
      </c>
      <c r="K482" t="s">
        <v>270</v>
      </c>
    </row>
    <row r="483" spans="7:11" x14ac:dyDescent="0.3">
      <c r="G483" t="s">
        <v>235</v>
      </c>
      <c r="H483" s="1">
        <v>1020</v>
      </c>
      <c r="I483" s="1" t="s">
        <v>283</v>
      </c>
      <c r="J483" s="11">
        <v>45842</v>
      </c>
      <c r="K483" t="s">
        <v>270</v>
      </c>
    </row>
    <row r="484" spans="7:11" x14ac:dyDescent="0.3">
      <c r="G484" t="s">
        <v>33</v>
      </c>
      <c r="H484" s="1">
        <v>645</v>
      </c>
      <c r="I484" s="1" t="s">
        <v>283</v>
      </c>
      <c r="J484" s="11">
        <v>45842</v>
      </c>
      <c r="K484" t="s">
        <v>97</v>
      </c>
    </row>
    <row r="485" spans="7:11" x14ac:dyDescent="0.3">
      <c r="G485" t="s">
        <v>80</v>
      </c>
      <c r="H485" s="1">
        <v>1855</v>
      </c>
      <c r="I485" s="1" t="s">
        <v>283</v>
      </c>
      <c r="J485" s="11">
        <v>45842</v>
      </c>
      <c r="K485" t="s">
        <v>95</v>
      </c>
    </row>
    <row r="486" spans="7:11" x14ac:dyDescent="0.3">
      <c r="G486" t="s">
        <v>294</v>
      </c>
      <c r="H486" s="1">
        <v>84</v>
      </c>
      <c r="I486" s="1" t="s">
        <v>283</v>
      </c>
      <c r="J486" s="11">
        <v>45843</v>
      </c>
      <c r="K486" t="s">
        <v>95</v>
      </c>
    </row>
    <row r="487" spans="7:11" x14ac:dyDescent="0.3">
      <c r="G487" t="s">
        <v>295</v>
      </c>
      <c r="H487" s="1">
        <v>75</v>
      </c>
      <c r="I487" s="1" t="s">
        <v>283</v>
      </c>
      <c r="J487" s="11">
        <v>45843</v>
      </c>
      <c r="K487" t="s">
        <v>96</v>
      </c>
    </row>
    <row r="488" spans="7:11" x14ac:dyDescent="0.3">
      <c r="G488" t="s">
        <v>220</v>
      </c>
      <c r="H488" s="1">
        <v>1545</v>
      </c>
      <c r="I488" s="1" t="s">
        <v>283</v>
      </c>
      <c r="J488" s="11">
        <v>45843</v>
      </c>
      <c r="K488" t="s">
        <v>270</v>
      </c>
    </row>
    <row r="489" spans="7:11" x14ac:dyDescent="0.3">
      <c r="G489" t="s">
        <v>132</v>
      </c>
      <c r="H489" s="1">
        <v>160</v>
      </c>
      <c r="I489" s="1" t="s">
        <v>283</v>
      </c>
      <c r="J489" s="11">
        <v>45843</v>
      </c>
      <c r="K489" t="s">
        <v>270</v>
      </c>
    </row>
    <row r="490" spans="7:11" x14ac:dyDescent="0.3">
      <c r="G490" t="s">
        <v>149</v>
      </c>
      <c r="H490" s="1">
        <v>17</v>
      </c>
      <c r="I490" s="1" t="s">
        <v>283</v>
      </c>
      <c r="J490" s="11">
        <v>45843</v>
      </c>
      <c r="K490" t="s">
        <v>210</v>
      </c>
    </row>
    <row r="491" spans="7:11" x14ac:dyDescent="0.3">
      <c r="G491" t="s">
        <v>247</v>
      </c>
      <c r="H491" s="1">
        <v>2400</v>
      </c>
      <c r="I491" s="1" t="s">
        <v>283</v>
      </c>
      <c r="J491" s="11">
        <v>45843</v>
      </c>
      <c r="K491" t="s">
        <v>90</v>
      </c>
    </row>
    <row r="492" spans="7:11" x14ac:dyDescent="0.3">
      <c r="G492" t="s">
        <v>296</v>
      </c>
      <c r="H492" s="1">
        <v>300</v>
      </c>
      <c r="I492" s="1" t="s">
        <v>283</v>
      </c>
      <c r="J492" s="11">
        <v>45843</v>
      </c>
      <c r="K492" t="s">
        <v>275</v>
      </c>
    </row>
    <row r="493" spans="7:11" x14ac:dyDescent="0.3">
      <c r="G493" t="s">
        <v>229</v>
      </c>
      <c r="H493" s="1">
        <v>460</v>
      </c>
      <c r="I493" s="1" t="s">
        <v>283</v>
      </c>
      <c r="J493" s="11">
        <v>45845</v>
      </c>
      <c r="K493" t="s">
        <v>95</v>
      </c>
    </row>
    <row r="494" spans="7:11" x14ac:dyDescent="0.3">
      <c r="G494" t="s">
        <v>153</v>
      </c>
      <c r="H494" s="1">
        <v>1500</v>
      </c>
      <c r="I494" s="1" t="s">
        <v>283</v>
      </c>
      <c r="J494" s="11">
        <v>45845</v>
      </c>
      <c r="K494" t="s">
        <v>96</v>
      </c>
    </row>
    <row r="495" spans="7:11" x14ac:dyDescent="0.3">
      <c r="G495" t="s">
        <v>149</v>
      </c>
      <c r="H495" s="1">
        <v>10</v>
      </c>
      <c r="I495" s="1" t="s">
        <v>283</v>
      </c>
      <c r="J495" s="11">
        <v>45845</v>
      </c>
      <c r="K495" t="s">
        <v>210</v>
      </c>
    </row>
    <row r="496" spans="7:11" x14ac:dyDescent="0.3">
      <c r="G496" t="s">
        <v>205</v>
      </c>
      <c r="H496" s="1">
        <v>270</v>
      </c>
      <c r="I496" s="1" t="s">
        <v>283</v>
      </c>
      <c r="J496" s="11">
        <v>45845</v>
      </c>
      <c r="K496" t="s">
        <v>205</v>
      </c>
    </row>
    <row r="497" spans="7:11" x14ac:dyDescent="0.3">
      <c r="G497" t="s">
        <v>152</v>
      </c>
      <c r="H497" s="1">
        <v>5500</v>
      </c>
      <c r="I497" s="1" t="s">
        <v>283</v>
      </c>
      <c r="J497" s="11">
        <v>45845</v>
      </c>
      <c r="K497" t="s">
        <v>212</v>
      </c>
    </row>
    <row r="498" spans="7:11" x14ac:dyDescent="0.3">
      <c r="G498" t="s">
        <v>161</v>
      </c>
      <c r="H498" s="1">
        <v>600</v>
      </c>
      <c r="I498" s="1" t="s">
        <v>283</v>
      </c>
      <c r="J498" s="11">
        <v>45845</v>
      </c>
      <c r="K498" t="s">
        <v>161</v>
      </c>
    </row>
    <row r="499" spans="7:11" x14ac:dyDescent="0.3">
      <c r="G499" t="s">
        <v>217</v>
      </c>
      <c r="H499" s="1">
        <v>40</v>
      </c>
      <c r="I499" s="1" t="s">
        <v>283</v>
      </c>
      <c r="J499" s="11">
        <v>45845</v>
      </c>
      <c r="K499" t="s">
        <v>95</v>
      </c>
    </row>
    <row r="500" spans="7:11" x14ac:dyDescent="0.3">
      <c r="G500" t="s">
        <v>217</v>
      </c>
      <c r="H500" s="1">
        <v>80</v>
      </c>
      <c r="I500" s="1" t="s">
        <v>283</v>
      </c>
      <c r="J500" s="11">
        <v>45845</v>
      </c>
      <c r="K500" t="s">
        <v>95</v>
      </c>
    </row>
    <row r="501" spans="7:11" x14ac:dyDescent="0.3">
      <c r="G501" t="s">
        <v>217</v>
      </c>
      <c r="H501" s="1">
        <v>40</v>
      </c>
      <c r="I501" s="1" t="s">
        <v>283</v>
      </c>
      <c r="J501" s="11">
        <v>45845</v>
      </c>
      <c r="K501" t="s">
        <v>95</v>
      </c>
    </row>
    <row r="502" spans="7:11" x14ac:dyDescent="0.3">
      <c r="G502" t="s">
        <v>49</v>
      </c>
      <c r="H502" s="1">
        <v>440</v>
      </c>
      <c r="I502" s="1" t="s">
        <v>283</v>
      </c>
      <c r="J502" s="11">
        <v>45845</v>
      </c>
      <c r="K502" t="s">
        <v>95</v>
      </c>
    </row>
    <row r="503" spans="7:11" x14ac:dyDescent="0.3">
      <c r="G503" t="s">
        <v>297</v>
      </c>
      <c r="H503" s="1">
        <v>120</v>
      </c>
      <c r="I503" s="1" t="s">
        <v>283</v>
      </c>
      <c r="J503" s="11">
        <v>45846</v>
      </c>
      <c r="K503" t="s">
        <v>95</v>
      </c>
    </row>
    <row r="504" spans="7:11" x14ac:dyDescent="0.3">
      <c r="G504" t="s">
        <v>60</v>
      </c>
      <c r="H504" s="1">
        <v>124.84</v>
      </c>
      <c r="I504" s="1" t="s">
        <v>283</v>
      </c>
      <c r="J504" s="11">
        <v>45846</v>
      </c>
      <c r="K504" t="s">
        <v>275</v>
      </c>
    </row>
    <row r="505" spans="7:11" x14ac:dyDescent="0.3">
      <c r="G505" t="s">
        <v>162</v>
      </c>
      <c r="H505" s="1">
        <v>85.19</v>
      </c>
      <c r="I505" s="1" t="s">
        <v>283</v>
      </c>
      <c r="J505" s="11">
        <v>45846</v>
      </c>
      <c r="K505" t="s">
        <v>162</v>
      </c>
    </row>
    <row r="506" spans="7:11" x14ac:dyDescent="0.3">
      <c r="G506" t="s">
        <v>277</v>
      </c>
      <c r="H506" s="1">
        <v>890</v>
      </c>
      <c r="I506" s="1" t="s">
        <v>283</v>
      </c>
      <c r="J506" s="11">
        <v>45846</v>
      </c>
      <c r="K506" t="s">
        <v>90</v>
      </c>
    </row>
    <row r="507" spans="7:11" x14ac:dyDescent="0.3">
      <c r="G507" t="s">
        <v>240</v>
      </c>
      <c r="H507" s="1">
        <v>539.4</v>
      </c>
      <c r="I507" s="1" t="s">
        <v>283</v>
      </c>
      <c r="J507" s="11">
        <v>45846</v>
      </c>
      <c r="K507" t="s">
        <v>90</v>
      </c>
    </row>
    <row r="508" spans="7:11" x14ac:dyDescent="0.3">
      <c r="G508" t="s">
        <v>217</v>
      </c>
      <c r="H508" s="1">
        <v>800</v>
      </c>
      <c r="I508" s="1" t="s">
        <v>283</v>
      </c>
      <c r="J508" s="11">
        <v>45846</v>
      </c>
      <c r="K508" t="s">
        <v>95</v>
      </c>
    </row>
    <row r="509" spans="7:11" x14ac:dyDescent="0.3">
      <c r="G509" t="s">
        <v>117</v>
      </c>
      <c r="H509" s="1">
        <v>300</v>
      </c>
      <c r="I509" s="1" t="s">
        <v>283</v>
      </c>
      <c r="J509" s="11">
        <v>45847</v>
      </c>
      <c r="K509" t="s">
        <v>90</v>
      </c>
    </row>
    <row r="510" spans="7:11" x14ac:dyDescent="0.3">
      <c r="G510" t="s">
        <v>300</v>
      </c>
      <c r="H510" s="1">
        <v>1360</v>
      </c>
      <c r="I510" s="1" t="s">
        <v>283</v>
      </c>
      <c r="J510" s="11">
        <v>45847</v>
      </c>
      <c r="K510" t="s">
        <v>90</v>
      </c>
    </row>
    <row r="511" spans="7:11" x14ac:dyDescent="0.3">
      <c r="G511" t="s">
        <v>301</v>
      </c>
      <c r="H511" s="1">
        <v>1860</v>
      </c>
      <c r="I511" s="1" t="s">
        <v>283</v>
      </c>
      <c r="J511" s="11">
        <v>45847</v>
      </c>
      <c r="K511" t="s">
        <v>90</v>
      </c>
    </row>
    <row r="512" spans="7:11" x14ac:dyDescent="0.3">
      <c r="G512" t="s">
        <v>302</v>
      </c>
      <c r="H512" s="1">
        <v>40</v>
      </c>
      <c r="I512" s="1" t="s">
        <v>283</v>
      </c>
      <c r="J512" s="11">
        <v>45847</v>
      </c>
      <c r="K512" t="s">
        <v>143</v>
      </c>
    </row>
    <row r="513" spans="7:11" x14ac:dyDescent="0.3">
      <c r="G513" t="s">
        <v>281</v>
      </c>
      <c r="H513" s="1">
        <v>26</v>
      </c>
      <c r="I513" s="1" t="s">
        <v>283</v>
      </c>
      <c r="J513" s="11">
        <v>45847</v>
      </c>
      <c r="K513" t="s">
        <v>96</v>
      </c>
    </row>
    <row r="514" spans="7:11" x14ac:dyDescent="0.3">
      <c r="G514" t="s">
        <v>303</v>
      </c>
      <c r="H514" s="1">
        <v>72</v>
      </c>
      <c r="I514" s="1" t="s">
        <v>283</v>
      </c>
      <c r="J514" s="11">
        <v>45847</v>
      </c>
      <c r="K514" t="s">
        <v>96</v>
      </c>
    </row>
    <row r="515" spans="7:11" x14ac:dyDescent="0.3">
      <c r="G515" t="s">
        <v>304</v>
      </c>
      <c r="H515" s="1">
        <v>172.34</v>
      </c>
      <c r="I515" s="1" t="s">
        <v>283</v>
      </c>
      <c r="J515" s="11">
        <v>45847</v>
      </c>
      <c r="K515" t="s">
        <v>96</v>
      </c>
    </row>
    <row r="516" spans="7:11" x14ac:dyDescent="0.3">
      <c r="G516" t="s">
        <v>307</v>
      </c>
      <c r="H516" s="1">
        <v>460</v>
      </c>
      <c r="I516" s="1" t="s">
        <v>283</v>
      </c>
      <c r="J516" s="11">
        <v>45849</v>
      </c>
      <c r="K516" t="s">
        <v>95</v>
      </c>
    </row>
    <row r="517" spans="7:11" x14ac:dyDescent="0.3">
      <c r="G517" t="s">
        <v>151</v>
      </c>
      <c r="H517" s="1">
        <v>3600</v>
      </c>
      <c r="I517" s="1" t="s">
        <v>283</v>
      </c>
      <c r="J517" s="11">
        <v>45849</v>
      </c>
      <c r="K517" t="s">
        <v>275</v>
      </c>
    </row>
    <row r="518" spans="7:11" x14ac:dyDescent="0.3">
      <c r="G518" t="s">
        <v>137</v>
      </c>
      <c r="H518" s="1">
        <v>4120.4799999999996</v>
      </c>
      <c r="I518" s="1" t="s">
        <v>283</v>
      </c>
      <c r="J518" s="11">
        <v>45849</v>
      </c>
      <c r="K518" t="s">
        <v>211</v>
      </c>
    </row>
    <row r="519" spans="7:11" x14ac:dyDescent="0.3">
      <c r="G519" t="s">
        <v>149</v>
      </c>
      <c r="H519" s="1">
        <v>90</v>
      </c>
      <c r="I519" s="1" t="s">
        <v>283</v>
      </c>
      <c r="J519" s="11">
        <v>45849</v>
      </c>
      <c r="K519" t="s">
        <v>210</v>
      </c>
    </row>
    <row r="520" spans="7:11" x14ac:dyDescent="0.3">
      <c r="G520" t="s">
        <v>252</v>
      </c>
      <c r="H520" s="1">
        <v>251</v>
      </c>
      <c r="I520" s="1" t="s">
        <v>283</v>
      </c>
      <c r="J520" s="11">
        <v>45849</v>
      </c>
      <c r="K520" t="s">
        <v>96</v>
      </c>
    </row>
    <row r="521" spans="7:11" x14ac:dyDescent="0.3">
      <c r="G521" t="s">
        <v>306</v>
      </c>
      <c r="H521" s="1">
        <v>50</v>
      </c>
      <c r="I521" s="1" t="s">
        <v>283</v>
      </c>
      <c r="J521" s="11">
        <v>45849</v>
      </c>
      <c r="K521" t="s">
        <v>96</v>
      </c>
    </row>
    <row r="522" spans="7:11" x14ac:dyDescent="0.3">
      <c r="G522" t="s">
        <v>60</v>
      </c>
      <c r="H522" s="1">
        <v>20</v>
      </c>
      <c r="I522" s="1" t="s">
        <v>283</v>
      </c>
      <c r="J522" s="11">
        <v>45849</v>
      </c>
      <c r="K522" t="s">
        <v>275</v>
      </c>
    </row>
    <row r="523" spans="7:11" x14ac:dyDescent="0.3">
      <c r="G523" t="s">
        <v>203</v>
      </c>
      <c r="H523" s="1">
        <v>559</v>
      </c>
      <c r="I523" s="1" t="s">
        <v>283</v>
      </c>
      <c r="J523" s="11">
        <v>45849</v>
      </c>
      <c r="K523" t="s">
        <v>90</v>
      </c>
    </row>
    <row r="524" spans="7:11" x14ac:dyDescent="0.3">
      <c r="G524" t="s">
        <v>143</v>
      </c>
      <c r="H524" s="1">
        <v>2.5</v>
      </c>
      <c r="I524" s="1" t="s">
        <v>283</v>
      </c>
      <c r="J524" s="11">
        <v>45849</v>
      </c>
      <c r="K524" t="s">
        <v>143</v>
      </c>
    </row>
    <row r="525" spans="7:11" x14ac:dyDescent="0.3">
      <c r="G525" t="s">
        <v>308</v>
      </c>
      <c r="H525" s="1">
        <v>1040</v>
      </c>
      <c r="I525" s="1" t="s">
        <v>283</v>
      </c>
      <c r="J525" s="11">
        <v>45849</v>
      </c>
      <c r="K525" t="s">
        <v>90</v>
      </c>
    </row>
    <row r="526" spans="7:11" x14ac:dyDescent="0.3">
      <c r="G526" t="s">
        <v>33</v>
      </c>
      <c r="H526" s="1">
        <v>645</v>
      </c>
      <c r="I526" s="1" t="s">
        <v>283</v>
      </c>
      <c r="J526" s="11">
        <v>45849</v>
      </c>
      <c r="K526" t="s">
        <v>97</v>
      </c>
    </row>
    <row r="527" spans="7:11" x14ac:dyDescent="0.3">
      <c r="G527" t="s">
        <v>305</v>
      </c>
      <c r="H527" s="1">
        <v>100</v>
      </c>
      <c r="I527" s="1" t="s">
        <v>283</v>
      </c>
      <c r="J527" s="11">
        <v>45849</v>
      </c>
      <c r="K527" t="s">
        <v>95</v>
      </c>
    </row>
    <row r="528" spans="7:11" x14ac:dyDescent="0.3">
      <c r="G528" t="s">
        <v>243</v>
      </c>
      <c r="H528" s="1">
        <v>80</v>
      </c>
      <c r="I528" s="1" t="s">
        <v>283</v>
      </c>
      <c r="J528" s="11">
        <v>45849</v>
      </c>
      <c r="K528" t="s">
        <v>95</v>
      </c>
    </row>
    <row r="529" spans="7:11" x14ac:dyDescent="0.3">
      <c r="G529" t="s">
        <v>220</v>
      </c>
      <c r="H529" s="1">
        <v>500</v>
      </c>
      <c r="I529" s="1" t="s">
        <v>283</v>
      </c>
      <c r="J529" s="11">
        <v>45850</v>
      </c>
      <c r="K529" t="s">
        <v>90</v>
      </c>
    </row>
    <row r="530" spans="7:11" x14ac:dyDescent="0.3">
      <c r="G530" t="s">
        <v>132</v>
      </c>
      <c r="H530" s="1">
        <v>50</v>
      </c>
      <c r="I530" s="1" t="s">
        <v>283</v>
      </c>
      <c r="J530" s="11">
        <v>45850</v>
      </c>
      <c r="K530" t="s">
        <v>90</v>
      </c>
    </row>
    <row r="531" spans="7:11" x14ac:dyDescent="0.3">
      <c r="G531" t="s">
        <v>20</v>
      </c>
      <c r="H531" s="1">
        <v>30</v>
      </c>
      <c r="I531" s="1" t="s">
        <v>283</v>
      </c>
      <c r="J531" s="11">
        <v>45850</v>
      </c>
      <c r="K531" t="s">
        <v>275</v>
      </c>
    </row>
    <row r="532" spans="7:11" x14ac:dyDescent="0.3">
      <c r="G532" t="s">
        <v>309</v>
      </c>
      <c r="H532" s="1">
        <v>70</v>
      </c>
      <c r="I532" s="1" t="s">
        <v>283</v>
      </c>
      <c r="J532" s="11">
        <v>45850</v>
      </c>
      <c r="K532" t="s">
        <v>275</v>
      </c>
    </row>
    <row r="533" spans="7:11" x14ac:dyDescent="0.3">
      <c r="G533" t="s">
        <v>205</v>
      </c>
      <c r="H533" s="1">
        <v>170</v>
      </c>
      <c r="I533" s="1" t="s">
        <v>283</v>
      </c>
      <c r="J533" s="11">
        <v>45850</v>
      </c>
      <c r="K533" t="s">
        <v>205</v>
      </c>
    </row>
    <row r="534" spans="7:11" x14ac:dyDescent="0.3">
      <c r="G534" t="s">
        <v>229</v>
      </c>
      <c r="H534" s="1">
        <v>1714</v>
      </c>
      <c r="I534" s="1" t="s">
        <v>283</v>
      </c>
      <c r="J534" s="11">
        <v>45852</v>
      </c>
      <c r="K534" t="s">
        <v>95</v>
      </c>
    </row>
    <row r="535" spans="7:11" x14ac:dyDescent="0.3">
      <c r="G535" t="s">
        <v>225</v>
      </c>
      <c r="H535" s="1">
        <v>1500</v>
      </c>
      <c r="I535" s="1" t="s">
        <v>283</v>
      </c>
      <c r="J535" s="11">
        <v>45852</v>
      </c>
      <c r="K535" t="s">
        <v>225</v>
      </c>
    </row>
    <row r="536" spans="7:11" x14ac:dyDescent="0.3">
      <c r="G536" t="s">
        <v>310</v>
      </c>
      <c r="H536" s="1">
        <v>570</v>
      </c>
      <c r="I536" s="1" t="s">
        <v>283</v>
      </c>
      <c r="J536" s="11">
        <v>45852</v>
      </c>
      <c r="K536" t="s">
        <v>90</v>
      </c>
    </row>
    <row r="537" spans="7:11" x14ac:dyDescent="0.3">
      <c r="G537" t="s">
        <v>290</v>
      </c>
      <c r="H537" s="1">
        <v>32</v>
      </c>
      <c r="I537" s="1" t="s">
        <v>283</v>
      </c>
      <c r="J537" s="11">
        <v>45852</v>
      </c>
      <c r="K537" t="s">
        <v>275</v>
      </c>
    </row>
    <row r="538" spans="7:11" x14ac:dyDescent="0.3">
      <c r="G538" t="s">
        <v>228</v>
      </c>
      <c r="H538" s="1">
        <v>11357</v>
      </c>
      <c r="I538" s="1" t="s">
        <v>283</v>
      </c>
      <c r="J538" s="11">
        <v>45852</v>
      </c>
      <c r="K538" t="s">
        <v>94</v>
      </c>
    </row>
    <row r="539" spans="7:11" x14ac:dyDescent="0.3">
      <c r="G539" t="s">
        <v>217</v>
      </c>
      <c r="H539" s="1">
        <v>160</v>
      </c>
      <c r="I539" s="1" t="s">
        <v>283</v>
      </c>
      <c r="J539" s="11">
        <v>45852</v>
      </c>
      <c r="K539" t="s">
        <v>95</v>
      </c>
    </row>
    <row r="540" spans="7:11" x14ac:dyDescent="0.3">
      <c r="G540" t="s">
        <v>217</v>
      </c>
      <c r="H540" s="1">
        <v>40</v>
      </c>
      <c r="I540" s="1" t="s">
        <v>283</v>
      </c>
      <c r="J540" s="11">
        <v>45852</v>
      </c>
      <c r="K540" t="s">
        <v>95</v>
      </c>
    </row>
    <row r="541" spans="7:11" x14ac:dyDescent="0.3">
      <c r="G541" t="s">
        <v>190</v>
      </c>
      <c r="H541" s="1">
        <v>170</v>
      </c>
      <c r="I541" s="1" t="s">
        <v>283</v>
      </c>
      <c r="J541" s="11">
        <v>45853</v>
      </c>
      <c r="K541" t="s">
        <v>170</v>
      </c>
    </row>
    <row r="542" spans="7:11" x14ac:dyDescent="0.3">
      <c r="G542" t="s">
        <v>311</v>
      </c>
      <c r="H542" s="1">
        <v>6200</v>
      </c>
      <c r="I542" s="1" t="s">
        <v>283</v>
      </c>
      <c r="J542" s="11">
        <v>45853</v>
      </c>
      <c r="K542" t="s">
        <v>2</v>
      </c>
    </row>
    <row r="543" spans="7:11" x14ac:dyDescent="0.3">
      <c r="G543" t="s">
        <v>143</v>
      </c>
      <c r="H543" s="1">
        <v>60</v>
      </c>
      <c r="I543" s="1" t="s">
        <v>283</v>
      </c>
      <c r="J543" s="11">
        <v>45853</v>
      </c>
      <c r="K543" t="s">
        <v>143</v>
      </c>
    </row>
    <row r="544" spans="7:11" x14ac:dyDescent="0.3">
      <c r="G544" t="s">
        <v>235</v>
      </c>
      <c r="H544" s="1">
        <v>530</v>
      </c>
      <c r="I544" s="1" t="s">
        <v>283</v>
      </c>
      <c r="J544" s="11">
        <v>45853</v>
      </c>
      <c r="K544" t="s">
        <v>90</v>
      </c>
    </row>
    <row r="545" spans="7:11" x14ac:dyDescent="0.3">
      <c r="G545" t="s">
        <v>184</v>
      </c>
      <c r="H545" s="1">
        <v>158</v>
      </c>
      <c r="I545" s="1" t="s">
        <v>283</v>
      </c>
      <c r="J545" s="11">
        <v>45853</v>
      </c>
      <c r="K545" t="s">
        <v>96</v>
      </c>
    </row>
    <row r="546" spans="7:11" x14ac:dyDescent="0.3">
      <c r="G546" t="s">
        <v>143</v>
      </c>
      <c r="H546" s="1">
        <v>70</v>
      </c>
      <c r="I546" s="1" t="s">
        <v>283</v>
      </c>
      <c r="J546" s="11">
        <v>45853</v>
      </c>
      <c r="K546" t="s">
        <v>143</v>
      </c>
    </row>
    <row r="547" spans="7:11" x14ac:dyDescent="0.3">
      <c r="G547" t="s">
        <v>26</v>
      </c>
      <c r="H547" s="1">
        <v>200</v>
      </c>
      <c r="I547" s="1" t="s">
        <v>283</v>
      </c>
      <c r="J547" s="11">
        <v>45853</v>
      </c>
      <c r="K547" t="s">
        <v>230</v>
      </c>
    </row>
    <row r="548" spans="7:11" x14ac:dyDescent="0.3">
      <c r="G548" t="s">
        <v>289</v>
      </c>
      <c r="H548" s="1">
        <v>680</v>
      </c>
      <c r="I548" s="1" t="s">
        <v>283</v>
      </c>
      <c r="J548" s="11">
        <v>45853</v>
      </c>
      <c r="K548" t="s">
        <v>90</v>
      </c>
    </row>
    <row r="549" spans="7:11" x14ac:dyDescent="0.3">
      <c r="G549" t="s">
        <v>7</v>
      </c>
      <c r="H549" s="1">
        <v>1535</v>
      </c>
      <c r="I549" s="1" t="s">
        <v>283</v>
      </c>
      <c r="J549" s="11">
        <v>45853</v>
      </c>
      <c r="K549" t="s">
        <v>2</v>
      </c>
    </row>
    <row r="550" spans="7:11" x14ac:dyDescent="0.3">
      <c r="G550" t="s">
        <v>229</v>
      </c>
      <c r="H550" s="1">
        <v>460</v>
      </c>
      <c r="I550" s="1" t="s">
        <v>283</v>
      </c>
      <c r="J550" s="11">
        <v>45854</v>
      </c>
      <c r="K550" t="s">
        <v>95</v>
      </c>
    </row>
    <row r="551" spans="7:11" x14ac:dyDescent="0.3">
      <c r="G551" t="s">
        <v>20</v>
      </c>
      <c r="H551" s="1">
        <v>44</v>
      </c>
      <c r="I551" s="1" t="s">
        <v>283</v>
      </c>
      <c r="J551" s="11">
        <v>45854</v>
      </c>
      <c r="K551" t="s">
        <v>275</v>
      </c>
    </row>
    <row r="552" spans="7:11" x14ac:dyDescent="0.3">
      <c r="G552" t="s">
        <v>312</v>
      </c>
      <c r="H552" s="1">
        <v>10</v>
      </c>
      <c r="I552" s="1" t="s">
        <v>283</v>
      </c>
      <c r="J552" s="11">
        <v>45854</v>
      </c>
      <c r="K552" t="s">
        <v>275</v>
      </c>
    </row>
    <row r="553" spans="7:11" x14ac:dyDescent="0.3">
      <c r="G553" t="s">
        <v>313</v>
      </c>
      <c r="H553" s="1">
        <v>55</v>
      </c>
      <c r="I553" s="1" t="s">
        <v>283</v>
      </c>
      <c r="J553" s="11">
        <v>45854</v>
      </c>
      <c r="K553" t="s">
        <v>275</v>
      </c>
    </row>
    <row r="554" spans="7:11" x14ac:dyDescent="0.3">
      <c r="G554" t="s">
        <v>314</v>
      </c>
      <c r="H554" s="1">
        <v>50</v>
      </c>
      <c r="I554" s="1" t="s">
        <v>283</v>
      </c>
      <c r="J554" s="11">
        <v>45854</v>
      </c>
      <c r="K554" t="s">
        <v>96</v>
      </c>
    </row>
    <row r="555" spans="7:11" x14ac:dyDescent="0.3">
      <c r="G555" t="s">
        <v>234</v>
      </c>
      <c r="H555" s="1">
        <v>1340</v>
      </c>
      <c r="I555" s="1" t="s">
        <v>283</v>
      </c>
      <c r="J555" s="11">
        <v>45854</v>
      </c>
      <c r="K555" t="s">
        <v>90</v>
      </c>
    </row>
    <row r="556" spans="7:11" x14ac:dyDescent="0.3">
      <c r="G556" t="s">
        <v>315</v>
      </c>
      <c r="H556" s="1">
        <v>2070</v>
      </c>
      <c r="I556" s="1" t="s">
        <v>283</v>
      </c>
      <c r="J556" s="11">
        <v>45854</v>
      </c>
      <c r="K556" t="s">
        <v>90</v>
      </c>
    </row>
    <row r="557" spans="7:11" x14ac:dyDescent="0.3">
      <c r="G557" t="s">
        <v>217</v>
      </c>
      <c r="H557" s="1">
        <v>40</v>
      </c>
      <c r="I557" s="1" t="s">
        <v>283</v>
      </c>
      <c r="J557" s="11">
        <v>45854</v>
      </c>
      <c r="K557" t="s">
        <v>95</v>
      </c>
    </row>
    <row r="558" spans="7:11" x14ac:dyDescent="0.3">
      <c r="G558" t="s">
        <v>49</v>
      </c>
      <c r="H558" s="1">
        <v>495</v>
      </c>
      <c r="I558" s="1" t="s">
        <v>283</v>
      </c>
      <c r="J558" s="11">
        <v>45854</v>
      </c>
      <c r="K558" t="s">
        <v>95</v>
      </c>
    </row>
    <row r="559" spans="7:11" x14ac:dyDescent="0.3">
      <c r="G559" t="s">
        <v>305</v>
      </c>
      <c r="H559" s="1">
        <v>100</v>
      </c>
      <c r="I559" s="1" t="s">
        <v>283</v>
      </c>
      <c r="J559" s="11">
        <v>45855</v>
      </c>
      <c r="K559" t="s">
        <v>95</v>
      </c>
    </row>
    <row r="560" spans="7:11" x14ac:dyDescent="0.3">
      <c r="G560" t="s">
        <v>291</v>
      </c>
      <c r="H560" s="1">
        <v>450</v>
      </c>
      <c r="I560" s="1" t="s">
        <v>283</v>
      </c>
      <c r="J560" s="11">
        <v>45855</v>
      </c>
      <c r="K560" t="s">
        <v>91</v>
      </c>
    </row>
    <row r="561" spans="7:11" x14ac:dyDescent="0.3">
      <c r="G561" t="s">
        <v>169</v>
      </c>
      <c r="H561" s="1">
        <v>732.5</v>
      </c>
      <c r="I561" s="1" t="s">
        <v>283</v>
      </c>
      <c r="J561" s="11">
        <v>45855</v>
      </c>
      <c r="K561" t="s">
        <v>96</v>
      </c>
    </row>
    <row r="562" spans="7:11" x14ac:dyDescent="0.3">
      <c r="G562" t="s">
        <v>149</v>
      </c>
      <c r="H562" s="1">
        <v>17</v>
      </c>
      <c r="I562" s="1" t="s">
        <v>283</v>
      </c>
      <c r="J562" s="11">
        <v>45855</v>
      </c>
      <c r="K562" t="s">
        <v>149</v>
      </c>
    </row>
    <row r="563" spans="7:11" x14ac:dyDescent="0.3">
      <c r="G563" t="s">
        <v>32</v>
      </c>
      <c r="H563" s="1">
        <v>36</v>
      </c>
      <c r="I563" s="1" t="s">
        <v>283</v>
      </c>
      <c r="J563" s="11">
        <v>45855</v>
      </c>
      <c r="K563" t="s">
        <v>97</v>
      </c>
    </row>
    <row r="564" spans="7:11" x14ac:dyDescent="0.3">
      <c r="G564" t="s">
        <v>33</v>
      </c>
      <c r="H564" s="1">
        <v>175</v>
      </c>
      <c r="I564" s="1" t="s">
        <v>283</v>
      </c>
      <c r="J564" s="11">
        <v>45855</v>
      </c>
      <c r="K564" t="s">
        <v>97</v>
      </c>
    </row>
    <row r="565" spans="7:11" x14ac:dyDescent="0.3">
      <c r="G565" t="s">
        <v>217</v>
      </c>
      <c r="H565" s="1">
        <v>400</v>
      </c>
      <c r="I565" s="1" t="s">
        <v>283</v>
      </c>
      <c r="J565" s="11">
        <v>45855</v>
      </c>
      <c r="K565" t="s">
        <v>95</v>
      </c>
    </row>
    <row r="566" spans="7:11" x14ac:dyDescent="0.3">
      <c r="G566" t="s">
        <v>229</v>
      </c>
      <c r="H566" s="1">
        <v>280</v>
      </c>
      <c r="I566" s="1" t="s">
        <v>283</v>
      </c>
      <c r="J566" s="11">
        <v>45856</v>
      </c>
      <c r="K566" t="s">
        <v>95</v>
      </c>
    </row>
    <row r="567" spans="7:11" x14ac:dyDescent="0.3">
      <c r="G567" t="s">
        <v>149</v>
      </c>
      <c r="H567" s="1">
        <v>490</v>
      </c>
      <c r="I567" s="1" t="s">
        <v>283</v>
      </c>
      <c r="J567" s="11">
        <v>45856</v>
      </c>
      <c r="K567" t="s">
        <v>149</v>
      </c>
    </row>
    <row r="568" spans="7:11" x14ac:dyDescent="0.3">
      <c r="G568" t="s">
        <v>246</v>
      </c>
      <c r="H568" s="1">
        <v>66.5</v>
      </c>
      <c r="I568" s="1" t="s">
        <v>283</v>
      </c>
      <c r="J568" s="11">
        <v>45856</v>
      </c>
      <c r="K568" t="s">
        <v>96</v>
      </c>
    </row>
    <row r="569" spans="7:11" x14ac:dyDescent="0.3">
      <c r="G569" t="s">
        <v>143</v>
      </c>
      <c r="H569" s="1">
        <v>14</v>
      </c>
      <c r="I569" s="1" t="s">
        <v>283</v>
      </c>
      <c r="J569" s="11">
        <v>45856</v>
      </c>
      <c r="K569" t="s">
        <v>143</v>
      </c>
    </row>
    <row r="570" spans="7:11" x14ac:dyDescent="0.3">
      <c r="G570" t="s">
        <v>316</v>
      </c>
      <c r="H570" s="1">
        <v>30</v>
      </c>
      <c r="I570" s="1" t="s">
        <v>283</v>
      </c>
      <c r="J570" s="11">
        <v>45856</v>
      </c>
      <c r="K570" t="s">
        <v>275</v>
      </c>
    </row>
    <row r="571" spans="7:11" x14ac:dyDescent="0.3">
      <c r="G571" t="s">
        <v>73</v>
      </c>
      <c r="H571" s="1">
        <v>510</v>
      </c>
      <c r="I571" s="1" t="s">
        <v>283</v>
      </c>
      <c r="J571" s="11">
        <v>45856</v>
      </c>
      <c r="K571" t="s">
        <v>270</v>
      </c>
    </row>
    <row r="572" spans="7:11" x14ac:dyDescent="0.3">
      <c r="G572" t="s">
        <v>33</v>
      </c>
      <c r="H572" s="1">
        <v>645</v>
      </c>
      <c r="I572" s="1" t="s">
        <v>283</v>
      </c>
      <c r="J572" s="11">
        <v>45856</v>
      </c>
      <c r="K572" t="s">
        <v>97</v>
      </c>
    </row>
    <row r="573" spans="7:11" x14ac:dyDescent="0.3">
      <c r="G573" t="s">
        <v>220</v>
      </c>
      <c r="H573" s="1">
        <v>1810</v>
      </c>
      <c r="I573" s="1" t="s">
        <v>283</v>
      </c>
      <c r="J573" s="11">
        <v>45857</v>
      </c>
      <c r="K573" t="s">
        <v>270</v>
      </c>
    </row>
    <row r="574" spans="7:11" x14ac:dyDescent="0.3">
      <c r="G574" t="s">
        <v>58</v>
      </c>
      <c r="H574" s="1">
        <v>100</v>
      </c>
      <c r="I574" s="1" t="s">
        <v>283</v>
      </c>
      <c r="J574" s="11">
        <v>45858</v>
      </c>
      <c r="K574" t="s">
        <v>97</v>
      </c>
    </row>
    <row r="575" spans="7:11" x14ac:dyDescent="0.3">
      <c r="G575" t="s">
        <v>229</v>
      </c>
      <c r="H575" s="1">
        <v>280</v>
      </c>
      <c r="I575" s="1" t="s">
        <v>283</v>
      </c>
      <c r="J575" s="11">
        <v>45859</v>
      </c>
      <c r="K575" t="s">
        <v>95</v>
      </c>
    </row>
    <row r="576" spans="7:11" x14ac:dyDescent="0.3">
      <c r="G576" t="s">
        <v>149</v>
      </c>
      <c r="H576" s="1">
        <v>62.5</v>
      </c>
      <c r="I576" s="1" t="s">
        <v>283</v>
      </c>
      <c r="J576" s="11">
        <v>45859</v>
      </c>
      <c r="K576" t="s">
        <v>210</v>
      </c>
    </row>
    <row r="577" spans="7:11" x14ac:dyDescent="0.3">
      <c r="G577" t="s">
        <v>280</v>
      </c>
      <c r="H577" s="1">
        <v>190.43</v>
      </c>
      <c r="I577" s="1" t="s">
        <v>283</v>
      </c>
      <c r="J577" s="11">
        <v>45859</v>
      </c>
      <c r="K577" t="s">
        <v>275</v>
      </c>
    </row>
    <row r="578" spans="7:11" x14ac:dyDescent="0.3">
      <c r="G578" t="s">
        <v>248</v>
      </c>
      <c r="H578" s="1">
        <v>300</v>
      </c>
      <c r="I578" s="1" t="s">
        <v>283</v>
      </c>
      <c r="J578" s="11">
        <v>45859</v>
      </c>
      <c r="K578" t="s">
        <v>270</v>
      </c>
    </row>
    <row r="579" spans="7:11" x14ac:dyDescent="0.3">
      <c r="G579" t="s">
        <v>169</v>
      </c>
      <c r="H579" s="1">
        <v>800</v>
      </c>
      <c r="I579" s="1" t="s">
        <v>283</v>
      </c>
      <c r="J579" s="11">
        <v>45859</v>
      </c>
      <c r="K579" t="s">
        <v>96</v>
      </c>
    </row>
    <row r="580" spans="7:11" x14ac:dyDescent="0.3">
      <c r="G580" t="s">
        <v>217</v>
      </c>
      <c r="H580" s="1">
        <v>40</v>
      </c>
      <c r="I580" s="1" t="s">
        <v>283</v>
      </c>
      <c r="J580" s="11">
        <v>45859</v>
      </c>
      <c r="K580" t="s">
        <v>95</v>
      </c>
    </row>
    <row r="581" spans="7:11" x14ac:dyDescent="0.3">
      <c r="G581" t="s">
        <v>49</v>
      </c>
      <c r="H581" s="1">
        <v>385</v>
      </c>
      <c r="I581" s="1" t="s">
        <v>283</v>
      </c>
      <c r="J581" s="11">
        <v>45859</v>
      </c>
      <c r="K581" t="s">
        <v>95</v>
      </c>
    </row>
    <row r="582" spans="7:11" x14ac:dyDescent="0.3">
      <c r="G582" t="s">
        <v>294</v>
      </c>
      <c r="H582" s="1">
        <v>40</v>
      </c>
      <c r="I582" s="1" t="s">
        <v>283</v>
      </c>
      <c r="J582" s="11">
        <v>45860</v>
      </c>
      <c r="K582" t="s">
        <v>95</v>
      </c>
    </row>
    <row r="583" spans="7:11" x14ac:dyDescent="0.3">
      <c r="G583" t="s">
        <v>297</v>
      </c>
      <c r="H583" s="1">
        <v>100</v>
      </c>
      <c r="I583" s="1" t="s">
        <v>283</v>
      </c>
      <c r="J583" s="11">
        <v>45860</v>
      </c>
      <c r="K583" t="s">
        <v>95</v>
      </c>
    </row>
    <row r="584" spans="7:11" x14ac:dyDescent="0.3">
      <c r="G584" t="s">
        <v>143</v>
      </c>
      <c r="H584" s="1">
        <v>5</v>
      </c>
      <c r="I584" s="1" t="s">
        <v>283</v>
      </c>
      <c r="J584" s="11">
        <v>45860</v>
      </c>
      <c r="K584" t="s">
        <v>143</v>
      </c>
    </row>
    <row r="585" spans="7:11" x14ac:dyDescent="0.3">
      <c r="G585" t="s">
        <v>205</v>
      </c>
      <c r="H585" s="1">
        <v>170</v>
      </c>
      <c r="I585" s="1" t="s">
        <v>283</v>
      </c>
      <c r="J585" s="11">
        <v>45860</v>
      </c>
      <c r="K585" t="s">
        <v>205</v>
      </c>
    </row>
    <row r="586" spans="7:11" x14ac:dyDescent="0.3">
      <c r="G586" t="s">
        <v>60</v>
      </c>
      <c r="H586" s="1">
        <v>20</v>
      </c>
      <c r="I586" s="1" t="s">
        <v>283</v>
      </c>
      <c r="J586" s="11">
        <v>45860</v>
      </c>
      <c r="K586" t="s">
        <v>275</v>
      </c>
    </row>
    <row r="587" spans="7:11" x14ac:dyDescent="0.3">
      <c r="G587" t="s">
        <v>277</v>
      </c>
      <c r="H587" s="1">
        <v>1085</v>
      </c>
      <c r="I587" s="1" t="s">
        <v>283</v>
      </c>
      <c r="J587" s="11">
        <v>45860</v>
      </c>
      <c r="K587" t="s">
        <v>270</v>
      </c>
    </row>
    <row r="588" spans="7:11" x14ac:dyDescent="0.3">
      <c r="G588" t="s">
        <v>235</v>
      </c>
      <c r="H588" s="1">
        <v>400</v>
      </c>
      <c r="I588" s="1" t="s">
        <v>283</v>
      </c>
      <c r="J588" s="11">
        <v>45860</v>
      </c>
      <c r="K588" t="s">
        <v>90</v>
      </c>
    </row>
    <row r="589" spans="7:11" x14ac:dyDescent="0.3">
      <c r="G589" t="s">
        <v>33</v>
      </c>
      <c r="H589" s="1">
        <v>1510</v>
      </c>
      <c r="I589" s="1" t="s">
        <v>283</v>
      </c>
      <c r="J589" s="11">
        <v>45860</v>
      </c>
      <c r="K589" t="s">
        <v>97</v>
      </c>
    </row>
    <row r="590" spans="7:11" x14ac:dyDescent="0.3">
      <c r="G590" t="s">
        <v>217</v>
      </c>
      <c r="H590" s="1">
        <v>80</v>
      </c>
      <c r="I590" s="1" t="s">
        <v>283</v>
      </c>
      <c r="J590" s="11">
        <v>45860</v>
      </c>
      <c r="K590" t="s">
        <v>95</v>
      </c>
    </row>
    <row r="591" spans="7:11" x14ac:dyDescent="0.3">
      <c r="G591" t="s">
        <v>217</v>
      </c>
      <c r="H591" s="1">
        <v>400</v>
      </c>
      <c r="I591" s="1" t="s">
        <v>283</v>
      </c>
      <c r="J591" s="11">
        <v>45860</v>
      </c>
      <c r="K591" t="s">
        <v>95</v>
      </c>
    </row>
    <row r="592" spans="7:11" x14ac:dyDescent="0.3">
      <c r="G592" t="s">
        <v>305</v>
      </c>
      <c r="H592" s="1">
        <v>100</v>
      </c>
      <c r="I592" s="1" t="s">
        <v>283</v>
      </c>
      <c r="J592" s="11">
        <v>45861</v>
      </c>
      <c r="K592" t="s">
        <v>95</v>
      </c>
    </row>
    <row r="593" spans="7:11" x14ac:dyDescent="0.3">
      <c r="G593" t="s">
        <v>318</v>
      </c>
      <c r="H593" s="1">
        <v>1280</v>
      </c>
      <c r="I593" s="1" t="s">
        <v>283</v>
      </c>
      <c r="J593" s="11">
        <v>45861</v>
      </c>
      <c r="K593" t="s">
        <v>90</v>
      </c>
    </row>
    <row r="594" spans="7:11" x14ac:dyDescent="0.3">
      <c r="G594" t="s">
        <v>317</v>
      </c>
      <c r="H594" s="1">
        <v>1122</v>
      </c>
      <c r="I594" s="1" t="s">
        <v>283</v>
      </c>
      <c r="J594" s="11">
        <v>45861</v>
      </c>
      <c r="K594" t="s">
        <v>90</v>
      </c>
    </row>
    <row r="595" spans="7:11" x14ac:dyDescent="0.3">
      <c r="G595" t="s">
        <v>217</v>
      </c>
      <c r="H595" s="1">
        <v>80</v>
      </c>
      <c r="I595" s="1" t="s">
        <v>283</v>
      </c>
      <c r="J595" s="11">
        <v>45861</v>
      </c>
      <c r="K595" t="s">
        <v>95</v>
      </c>
    </row>
    <row r="596" spans="7:11" x14ac:dyDescent="0.3">
      <c r="G596" t="s">
        <v>143</v>
      </c>
      <c r="H596" s="1">
        <v>14</v>
      </c>
      <c r="I596" s="1" t="s">
        <v>283</v>
      </c>
      <c r="J596" s="11">
        <v>45861</v>
      </c>
      <c r="K596" t="s">
        <v>95</v>
      </c>
    </row>
    <row r="597" spans="7:11" x14ac:dyDescent="0.3">
      <c r="G597" t="s">
        <v>319</v>
      </c>
      <c r="H597" s="1">
        <v>1059.4000000000001</v>
      </c>
      <c r="I597" s="1" t="s">
        <v>283</v>
      </c>
      <c r="J597" s="11">
        <v>45863</v>
      </c>
      <c r="K597" t="s">
        <v>90</v>
      </c>
    </row>
    <row r="598" spans="7:11" x14ac:dyDescent="0.3">
      <c r="G598" t="s">
        <v>35</v>
      </c>
      <c r="H598" s="1">
        <v>54</v>
      </c>
      <c r="I598" s="1" t="s">
        <v>283</v>
      </c>
      <c r="J598" s="11">
        <v>45863</v>
      </c>
      <c r="K598" t="s">
        <v>96</v>
      </c>
    </row>
    <row r="599" spans="7:11" x14ac:dyDescent="0.3">
      <c r="G599" t="s">
        <v>321</v>
      </c>
      <c r="H599" s="1">
        <v>140</v>
      </c>
      <c r="I599" s="1" t="s">
        <v>283</v>
      </c>
      <c r="J599" s="11">
        <v>45864</v>
      </c>
      <c r="K599" t="s">
        <v>95</v>
      </c>
    </row>
    <row r="600" spans="7:11" x14ac:dyDescent="0.3">
      <c r="G600" t="s">
        <v>297</v>
      </c>
      <c r="H600" s="1">
        <v>120</v>
      </c>
      <c r="I600" s="1" t="s">
        <v>283</v>
      </c>
      <c r="J600" s="11">
        <v>45864</v>
      </c>
      <c r="K600" t="s">
        <v>95</v>
      </c>
    </row>
    <row r="601" spans="7:11" x14ac:dyDescent="0.3">
      <c r="G601" t="s">
        <v>143</v>
      </c>
      <c r="H601" s="1">
        <v>1</v>
      </c>
      <c r="I601" s="1" t="s">
        <v>283</v>
      </c>
      <c r="J601" s="11">
        <v>45864</v>
      </c>
      <c r="K601" t="s">
        <v>143</v>
      </c>
    </row>
    <row r="602" spans="7:11" x14ac:dyDescent="0.3">
      <c r="G602" t="s">
        <v>184</v>
      </c>
      <c r="H602" s="1">
        <v>41</v>
      </c>
      <c r="I602" s="1" t="s">
        <v>283</v>
      </c>
      <c r="J602" s="11">
        <v>45864</v>
      </c>
      <c r="K602" t="s">
        <v>96</v>
      </c>
    </row>
    <row r="603" spans="7:11" x14ac:dyDescent="0.3">
      <c r="G603" t="s">
        <v>320</v>
      </c>
      <c r="H603" s="1">
        <v>3000</v>
      </c>
      <c r="I603" s="1" t="s">
        <v>283</v>
      </c>
      <c r="J603" s="11">
        <v>45864</v>
      </c>
      <c r="K603" t="s">
        <v>275</v>
      </c>
    </row>
    <row r="604" spans="7:11" x14ac:dyDescent="0.3">
      <c r="G604" t="s">
        <v>278</v>
      </c>
      <c r="H604" s="1">
        <v>135</v>
      </c>
      <c r="I604" s="1" t="s">
        <v>283</v>
      </c>
      <c r="J604" s="11">
        <v>45864</v>
      </c>
      <c r="K604" t="s">
        <v>275</v>
      </c>
    </row>
    <row r="605" spans="7:11" x14ac:dyDescent="0.3">
      <c r="G605" t="s">
        <v>60</v>
      </c>
      <c r="H605" s="1">
        <v>10</v>
      </c>
      <c r="I605" s="1" t="s">
        <v>283</v>
      </c>
      <c r="J605" s="11">
        <v>45864</v>
      </c>
      <c r="K605" t="s">
        <v>275</v>
      </c>
    </row>
    <row r="606" spans="7:11" x14ac:dyDescent="0.3">
      <c r="G606" t="s">
        <v>322</v>
      </c>
      <c r="H606" s="1">
        <v>170</v>
      </c>
      <c r="I606" s="1" t="s">
        <v>283</v>
      </c>
      <c r="J606" s="11">
        <v>45864</v>
      </c>
      <c r="K606" t="s">
        <v>205</v>
      </c>
    </row>
    <row r="607" spans="7:11" x14ac:dyDescent="0.3">
      <c r="G607" t="s">
        <v>323</v>
      </c>
      <c r="H607" s="1">
        <v>200</v>
      </c>
      <c r="I607" s="1" t="s">
        <v>283</v>
      </c>
      <c r="J607" s="11">
        <v>45864</v>
      </c>
      <c r="K607" t="s">
        <v>90</v>
      </c>
    </row>
    <row r="608" spans="7:11" x14ac:dyDescent="0.3">
      <c r="G608" t="s">
        <v>324</v>
      </c>
      <c r="H608" s="1">
        <v>80</v>
      </c>
      <c r="I608" s="1" t="s">
        <v>283</v>
      </c>
      <c r="J608" s="11">
        <v>45864</v>
      </c>
      <c r="K608" t="s">
        <v>90</v>
      </c>
    </row>
    <row r="609" spans="7:11" x14ac:dyDescent="0.3">
      <c r="G609" t="s">
        <v>217</v>
      </c>
      <c r="H609" s="1">
        <v>800</v>
      </c>
      <c r="I609" s="1" t="s">
        <v>283</v>
      </c>
      <c r="J609" s="11">
        <v>45864</v>
      </c>
      <c r="K609" t="s">
        <v>95</v>
      </c>
    </row>
    <row r="610" spans="7:11" x14ac:dyDescent="0.3">
      <c r="G610" t="s">
        <v>80</v>
      </c>
      <c r="H610" s="1">
        <v>1630</v>
      </c>
      <c r="I610" s="1" t="s">
        <v>283</v>
      </c>
      <c r="J610" s="11">
        <v>45865</v>
      </c>
      <c r="K610" t="s">
        <v>95</v>
      </c>
    </row>
    <row r="611" spans="7:11" x14ac:dyDescent="0.3">
      <c r="G611" t="s">
        <v>325</v>
      </c>
      <c r="H611" s="1">
        <v>1250</v>
      </c>
      <c r="I611" s="1" t="s">
        <v>283</v>
      </c>
      <c r="J611" s="11">
        <v>45865</v>
      </c>
      <c r="K611" t="s">
        <v>275</v>
      </c>
    </row>
    <row r="612" spans="7:11" x14ac:dyDescent="0.3">
      <c r="G612" t="s">
        <v>269</v>
      </c>
      <c r="H612" s="1">
        <v>699</v>
      </c>
      <c r="I612" s="1" t="s">
        <v>283</v>
      </c>
      <c r="J612" s="11">
        <v>45865</v>
      </c>
      <c r="K612" t="s">
        <v>90</v>
      </c>
    </row>
    <row r="613" spans="7:11" x14ac:dyDescent="0.3">
      <c r="G613" t="s">
        <v>149</v>
      </c>
      <c r="H613" s="1">
        <v>40</v>
      </c>
      <c r="I613" s="1" t="s">
        <v>283</v>
      </c>
      <c r="J613" s="11">
        <v>45865</v>
      </c>
      <c r="K613" t="s">
        <v>210</v>
      </c>
    </row>
    <row r="614" spans="7:11" x14ac:dyDescent="0.3">
      <c r="G614" t="s">
        <v>33</v>
      </c>
      <c r="H614" s="1">
        <v>645</v>
      </c>
      <c r="I614" s="1" t="s">
        <v>283</v>
      </c>
      <c r="J614" s="11">
        <v>45865</v>
      </c>
      <c r="K614" t="s">
        <v>97</v>
      </c>
    </row>
    <row r="615" spans="7:11" x14ac:dyDescent="0.3">
      <c r="G615" t="s">
        <v>49</v>
      </c>
      <c r="H615" s="1">
        <v>330</v>
      </c>
      <c r="I615" s="1" t="s">
        <v>283</v>
      </c>
      <c r="J615" s="11">
        <v>45865</v>
      </c>
      <c r="K615" t="s">
        <v>95</v>
      </c>
    </row>
    <row r="616" spans="7:11" x14ac:dyDescent="0.3">
      <c r="G616" t="s">
        <v>235</v>
      </c>
      <c r="H616" s="1">
        <v>600</v>
      </c>
      <c r="I616" s="1" t="s">
        <v>283</v>
      </c>
      <c r="J616" s="11">
        <v>45867</v>
      </c>
      <c r="K616" t="s">
        <v>90</v>
      </c>
    </row>
    <row r="617" spans="7:11" x14ac:dyDescent="0.3">
      <c r="G617" t="s">
        <v>33</v>
      </c>
      <c r="H617" s="1">
        <v>233</v>
      </c>
      <c r="I617" s="1" t="s">
        <v>283</v>
      </c>
      <c r="J617" s="11">
        <v>45867</v>
      </c>
      <c r="K617" t="s">
        <v>97</v>
      </c>
    </row>
    <row r="618" spans="7:11" x14ac:dyDescent="0.3">
      <c r="G618" t="s">
        <v>243</v>
      </c>
      <c r="H618" s="1">
        <v>780</v>
      </c>
      <c r="I618" s="1" t="s">
        <v>283</v>
      </c>
      <c r="J618" s="11">
        <v>45868</v>
      </c>
      <c r="K618" t="s">
        <v>95</v>
      </c>
    </row>
    <row r="619" spans="7:11" x14ac:dyDescent="0.3">
      <c r="G619" t="s">
        <v>58</v>
      </c>
      <c r="H619" s="1">
        <v>228.4</v>
      </c>
      <c r="I619" s="1" t="s">
        <v>283</v>
      </c>
      <c r="J619" s="11">
        <v>45868</v>
      </c>
      <c r="K619" t="s">
        <v>97</v>
      </c>
    </row>
    <row r="620" spans="7:11" x14ac:dyDescent="0.3">
      <c r="G620" t="s">
        <v>143</v>
      </c>
      <c r="H620" s="1">
        <v>10</v>
      </c>
      <c r="I620" s="1" t="s">
        <v>283</v>
      </c>
      <c r="J620" s="11">
        <v>45868</v>
      </c>
      <c r="K620" t="s">
        <v>143</v>
      </c>
    </row>
    <row r="621" spans="7:11" x14ac:dyDescent="0.3">
      <c r="G621" t="s">
        <v>143</v>
      </c>
      <c r="H621" s="1">
        <v>10</v>
      </c>
      <c r="I621" s="1" t="s">
        <v>283</v>
      </c>
      <c r="J621" s="11">
        <v>45868</v>
      </c>
      <c r="K621" t="s">
        <v>143</v>
      </c>
    </row>
    <row r="622" spans="7:11" x14ac:dyDescent="0.3">
      <c r="G622" t="s">
        <v>296</v>
      </c>
      <c r="H622" s="1">
        <v>40</v>
      </c>
      <c r="I622" s="1" t="s">
        <v>283</v>
      </c>
      <c r="J622" s="11">
        <v>45868</v>
      </c>
      <c r="K622" t="s">
        <v>275</v>
      </c>
    </row>
    <row r="623" spans="7:11" x14ac:dyDescent="0.3">
      <c r="G623" t="s">
        <v>317</v>
      </c>
      <c r="H623" s="1">
        <v>1136</v>
      </c>
      <c r="I623" s="1" t="s">
        <v>283</v>
      </c>
      <c r="J623" s="11">
        <v>45868</v>
      </c>
      <c r="K623" t="s">
        <v>90</v>
      </c>
    </row>
    <row r="624" spans="7:11" x14ac:dyDescent="0.3">
      <c r="G624" t="s">
        <v>318</v>
      </c>
      <c r="H624" s="1">
        <v>950</v>
      </c>
      <c r="I624" s="1" t="s">
        <v>283</v>
      </c>
      <c r="J624" s="11">
        <v>45868</v>
      </c>
      <c r="K624" t="s">
        <v>90</v>
      </c>
    </row>
    <row r="625" spans="7:11" x14ac:dyDescent="0.3">
      <c r="G625" t="s">
        <v>234</v>
      </c>
      <c r="H625" s="1">
        <v>960</v>
      </c>
      <c r="I625" s="1" t="s">
        <v>283</v>
      </c>
      <c r="J625" s="11">
        <v>45868</v>
      </c>
      <c r="K625" t="s">
        <v>90</v>
      </c>
    </row>
    <row r="626" spans="7:11" x14ac:dyDescent="0.3">
      <c r="G626" t="s">
        <v>326</v>
      </c>
      <c r="H626" s="1">
        <v>1050</v>
      </c>
      <c r="I626" s="1" t="s">
        <v>283</v>
      </c>
      <c r="J626" s="11">
        <v>45868</v>
      </c>
      <c r="K626" t="s">
        <v>90</v>
      </c>
    </row>
    <row r="627" spans="7:11" x14ac:dyDescent="0.3">
      <c r="G627" t="s">
        <v>327</v>
      </c>
      <c r="H627" s="1">
        <v>60</v>
      </c>
      <c r="I627" s="1" t="s">
        <v>283</v>
      </c>
      <c r="J627" s="11">
        <v>45868</v>
      </c>
      <c r="K627" t="s">
        <v>275</v>
      </c>
    </row>
    <row r="628" spans="7:11" x14ac:dyDescent="0.3">
      <c r="G628" t="s">
        <v>305</v>
      </c>
      <c r="H628" s="1">
        <v>100</v>
      </c>
      <c r="I628" s="1" t="s">
        <v>283</v>
      </c>
      <c r="J628" s="11">
        <v>45869</v>
      </c>
      <c r="K628" t="s">
        <v>95</v>
      </c>
    </row>
    <row r="629" spans="7:11" x14ac:dyDescent="0.3">
      <c r="G629" t="s">
        <v>60</v>
      </c>
      <c r="H629" s="1">
        <v>20</v>
      </c>
      <c r="I629" s="1" t="s">
        <v>283</v>
      </c>
      <c r="J629" s="11">
        <v>45869</v>
      </c>
      <c r="K629" t="s">
        <v>275</v>
      </c>
    </row>
    <row r="630" spans="7:11" x14ac:dyDescent="0.3">
      <c r="G630" t="s">
        <v>328</v>
      </c>
      <c r="H630" s="1">
        <v>840</v>
      </c>
      <c r="I630" s="1" t="s">
        <v>283</v>
      </c>
      <c r="J630" s="11">
        <v>45869</v>
      </c>
      <c r="K630" t="s">
        <v>90</v>
      </c>
    </row>
    <row r="631" spans="7:11" x14ac:dyDescent="0.3">
      <c r="G631" t="s">
        <v>329</v>
      </c>
      <c r="H631" s="1">
        <v>70</v>
      </c>
      <c r="I631" s="1" t="s">
        <v>283</v>
      </c>
      <c r="J631" s="11">
        <v>45869</v>
      </c>
      <c r="K631" t="s">
        <v>96</v>
      </c>
    </row>
    <row r="632" spans="7:11" x14ac:dyDescent="0.3">
      <c r="G632" t="s">
        <v>297</v>
      </c>
      <c r="H632" s="1">
        <v>360</v>
      </c>
      <c r="I632" s="1" t="s">
        <v>331</v>
      </c>
      <c r="J632" s="11">
        <v>45870</v>
      </c>
      <c r="K632" t="s">
        <v>95</v>
      </c>
    </row>
    <row r="633" spans="7:11" x14ac:dyDescent="0.3">
      <c r="G633" t="s">
        <v>186</v>
      </c>
      <c r="H633" s="1">
        <v>1723</v>
      </c>
      <c r="I633" s="1" t="s">
        <v>331</v>
      </c>
      <c r="J633" s="11">
        <v>45870</v>
      </c>
      <c r="K633" t="s">
        <v>91</v>
      </c>
    </row>
    <row r="634" spans="7:11" x14ac:dyDescent="0.3">
      <c r="G634" t="s">
        <v>299</v>
      </c>
      <c r="H634" s="1">
        <v>800</v>
      </c>
      <c r="I634" s="1" t="s">
        <v>331</v>
      </c>
      <c r="J634" s="11">
        <v>45870</v>
      </c>
      <c r="K634" t="s">
        <v>91</v>
      </c>
    </row>
    <row r="635" spans="7:11" x14ac:dyDescent="0.3">
      <c r="G635" t="s">
        <v>57</v>
      </c>
      <c r="H635" s="1">
        <v>4000</v>
      </c>
      <c r="I635" s="1" t="s">
        <v>331</v>
      </c>
      <c r="J635" s="11">
        <v>45870</v>
      </c>
      <c r="K635" t="s">
        <v>91</v>
      </c>
    </row>
    <row r="636" spans="7:11" x14ac:dyDescent="0.3">
      <c r="G636" t="s">
        <v>298</v>
      </c>
      <c r="H636" s="1">
        <v>1500</v>
      </c>
      <c r="I636" s="1" t="s">
        <v>331</v>
      </c>
      <c r="J636" s="11">
        <v>45870</v>
      </c>
      <c r="K636" t="s">
        <v>91</v>
      </c>
    </row>
    <row r="637" spans="7:11" x14ac:dyDescent="0.3">
      <c r="G637" t="s">
        <v>332</v>
      </c>
      <c r="H637" s="1">
        <v>2000</v>
      </c>
      <c r="I637" s="1" t="s">
        <v>331</v>
      </c>
      <c r="J637" s="11">
        <v>45870</v>
      </c>
      <c r="K637" t="s">
        <v>91</v>
      </c>
    </row>
    <row r="638" spans="7:11" x14ac:dyDescent="0.3">
      <c r="G638" t="s">
        <v>143</v>
      </c>
      <c r="H638" s="1">
        <v>25</v>
      </c>
      <c r="I638" s="1" t="s">
        <v>331</v>
      </c>
      <c r="J638" s="11">
        <v>45870</v>
      </c>
      <c r="K638" t="s">
        <v>143</v>
      </c>
    </row>
    <row r="639" spans="7:11" x14ac:dyDescent="0.3">
      <c r="G639" t="s">
        <v>162</v>
      </c>
      <c r="H639" s="1">
        <v>2282.54</v>
      </c>
      <c r="I639" s="1" t="s">
        <v>331</v>
      </c>
      <c r="J639" s="11">
        <v>45870</v>
      </c>
      <c r="K639" t="s">
        <v>162</v>
      </c>
    </row>
    <row r="640" spans="7:11" x14ac:dyDescent="0.3">
      <c r="G640" t="s">
        <v>317</v>
      </c>
      <c r="H640" s="1">
        <v>964</v>
      </c>
      <c r="I640" s="1" t="s">
        <v>331</v>
      </c>
      <c r="J640" s="11">
        <v>45870</v>
      </c>
      <c r="K640" t="s">
        <v>90</v>
      </c>
    </row>
    <row r="641" spans="7:11" x14ac:dyDescent="0.3">
      <c r="G641" t="s">
        <v>333</v>
      </c>
      <c r="H641" s="1">
        <v>180.6</v>
      </c>
      <c r="I641" s="1" t="s">
        <v>331</v>
      </c>
      <c r="J641" s="11">
        <v>45870</v>
      </c>
      <c r="K641" t="s">
        <v>91</v>
      </c>
    </row>
    <row r="642" spans="7:11" x14ac:dyDescent="0.3">
      <c r="G642" t="s">
        <v>334</v>
      </c>
      <c r="H642" s="1">
        <v>861</v>
      </c>
      <c r="I642" s="1" t="s">
        <v>331</v>
      </c>
      <c r="J642" s="11">
        <v>45870</v>
      </c>
      <c r="K642" t="s">
        <v>91</v>
      </c>
    </row>
    <row r="643" spans="7:11" x14ac:dyDescent="0.3">
      <c r="G643" t="s">
        <v>335</v>
      </c>
      <c r="H643" s="1">
        <v>840</v>
      </c>
      <c r="I643" s="1" t="s">
        <v>331</v>
      </c>
      <c r="J643" s="11">
        <v>45870</v>
      </c>
      <c r="K643" t="s">
        <v>90</v>
      </c>
    </row>
    <row r="644" spans="7:11" x14ac:dyDescent="0.3">
      <c r="G644" t="s">
        <v>143</v>
      </c>
      <c r="H644" s="1">
        <v>10</v>
      </c>
      <c r="I644" s="1" t="s">
        <v>331</v>
      </c>
      <c r="J644" s="11">
        <v>45870</v>
      </c>
      <c r="K644" t="s">
        <v>143</v>
      </c>
    </row>
    <row r="645" spans="7:11" x14ac:dyDescent="0.3">
      <c r="G645" t="s">
        <v>308</v>
      </c>
      <c r="H645" s="1">
        <v>860</v>
      </c>
      <c r="I645" s="1" t="s">
        <v>331</v>
      </c>
      <c r="J645" s="11">
        <v>45870</v>
      </c>
      <c r="K645" t="s">
        <v>90</v>
      </c>
    </row>
    <row r="646" spans="7:11" x14ac:dyDescent="0.3">
      <c r="G646" t="s">
        <v>251</v>
      </c>
      <c r="H646" s="1">
        <v>100</v>
      </c>
      <c r="I646" s="1" t="s">
        <v>331</v>
      </c>
      <c r="J646" s="11">
        <v>45870</v>
      </c>
      <c r="K646" t="s">
        <v>275</v>
      </c>
    </row>
    <row r="647" spans="7:11" x14ac:dyDescent="0.3">
      <c r="G647" t="s">
        <v>33</v>
      </c>
      <c r="H647" s="1">
        <v>645</v>
      </c>
      <c r="I647" s="1" t="s">
        <v>331</v>
      </c>
      <c r="J647" s="11">
        <v>45870</v>
      </c>
      <c r="K647" t="s">
        <v>97</v>
      </c>
    </row>
    <row r="648" spans="7:11" x14ac:dyDescent="0.3">
      <c r="G648" t="s">
        <v>49</v>
      </c>
      <c r="H648" s="1">
        <v>525</v>
      </c>
      <c r="I648" s="1" t="s">
        <v>331</v>
      </c>
      <c r="J648" s="11">
        <v>45870</v>
      </c>
      <c r="K648" t="s">
        <v>95</v>
      </c>
    </row>
    <row r="649" spans="7:11" x14ac:dyDescent="0.3">
      <c r="G649" t="s">
        <v>243</v>
      </c>
      <c r="H649" s="1">
        <v>40</v>
      </c>
      <c r="I649" s="1" t="s">
        <v>331</v>
      </c>
      <c r="J649" s="11">
        <v>45871</v>
      </c>
      <c r="K649" t="s">
        <v>95</v>
      </c>
    </row>
    <row r="650" spans="7:11" x14ac:dyDescent="0.3">
      <c r="G650" t="s">
        <v>143</v>
      </c>
      <c r="H650" s="1">
        <v>70</v>
      </c>
      <c r="I650" s="1" t="s">
        <v>331</v>
      </c>
      <c r="J650" s="11">
        <v>45871</v>
      </c>
      <c r="K650" t="s">
        <v>143</v>
      </c>
    </row>
    <row r="651" spans="7:11" x14ac:dyDescent="0.3">
      <c r="G651" t="s">
        <v>260</v>
      </c>
      <c r="H651" s="1">
        <v>2200</v>
      </c>
      <c r="I651" s="1" t="s">
        <v>331</v>
      </c>
      <c r="J651" s="11">
        <v>45871</v>
      </c>
      <c r="K651" t="s">
        <v>2</v>
      </c>
    </row>
    <row r="652" spans="7:11" x14ac:dyDescent="0.3">
      <c r="G652" t="s">
        <v>336</v>
      </c>
      <c r="H652" s="1">
        <v>50</v>
      </c>
      <c r="I652" s="1" t="s">
        <v>331</v>
      </c>
      <c r="J652" s="11">
        <v>45871</v>
      </c>
      <c r="K652" t="s">
        <v>90</v>
      </c>
    </row>
    <row r="653" spans="7:11" x14ac:dyDescent="0.3">
      <c r="G653" t="s">
        <v>337</v>
      </c>
      <c r="H653" s="1">
        <v>250</v>
      </c>
      <c r="I653" s="1" t="s">
        <v>331</v>
      </c>
      <c r="J653" s="11">
        <v>45871</v>
      </c>
      <c r="K653" t="s">
        <v>90</v>
      </c>
    </row>
    <row r="654" spans="7:11" x14ac:dyDescent="0.3">
      <c r="G654" t="s">
        <v>143</v>
      </c>
      <c r="H654" s="1">
        <v>30</v>
      </c>
      <c r="I654" s="1" t="s">
        <v>331</v>
      </c>
      <c r="J654" s="11">
        <v>45871</v>
      </c>
      <c r="K654" t="s">
        <v>143</v>
      </c>
    </row>
    <row r="655" spans="7:11" x14ac:dyDescent="0.3">
      <c r="G655" t="s">
        <v>322</v>
      </c>
      <c r="H655" s="1">
        <v>170</v>
      </c>
      <c r="I655" s="1" t="s">
        <v>331</v>
      </c>
      <c r="J655" s="11">
        <v>45871</v>
      </c>
      <c r="K655" t="s">
        <v>143</v>
      </c>
    </row>
    <row r="656" spans="7:11" x14ac:dyDescent="0.3">
      <c r="G656" t="s">
        <v>143</v>
      </c>
      <c r="H656" s="1">
        <v>10.1</v>
      </c>
      <c r="I656" s="1" t="s">
        <v>331</v>
      </c>
      <c r="J656" s="11">
        <v>45871</v>
      </c>
      <c r="K656" t="s">
        <v>143</v>
      </c>
    </row>
    <row r="657" spans="7:11" x14ac:dyDescent="0.3">
      <c r="G657" t="s">
        <v>276</v>
      </c>
      <c r="H657" s="1">
        <v>200</v>
      </c>
      <c r="I657" s="1" t="s">
        <v>331</v>
      </c>
      <c r="J657" s="11">
        <v>45873</v>
      </c>
      <c r="K657" t="s">
        <v>95</v>
      </c>
    </row>
    <row r="658" spans="7:11" x14ac:dyDescent="0.3">
      <c r="G658" t="s">
        <v>321</v>
      </c>
      <c r="H658" s="1">
        <v>90</v>
      </c>
      <c r="I658" s="1" t="s">
        <v>331</v>
      </c>
      <c r="J658" s="11">
        <v>45873</v>
      </c>
      <c r="K658" t="s">
        <v>90</v>
      </c>
    </row>
    <row r="659" spans="7:11" x14ac:dyDescent="0.3">
      <c r="G659" t="s">
        <v>277</v>
      </c>
      <c r="H659" s="1">
        <v>895</v>
      </c>
      <c r="I659" s="1" t="s">
        <v>331</v>
      </c>
      <c r="J659" s="11">
        <v>45873</v>
      </c>
      <c r="K659" t="s">
        <v>90</v>
      </c>
    </row>
    <row r="660" spans="7:11" x14ac:dyDescent="0.3">
      <c r="G660" t="s">
        <v>338</v>
      </c>
      <c r="H660" s="1">
        <v>1800</v>
      </c>
      <c r="I660" s="1" t="s">
        <v>331</v>
      </c>
      <c r="J660" s="11">
        <v>45873</v>
      </c>
      <c r="K660" t="s">
        <v>91</v>
      </c>
    </row>
    <row r="661" spans="7:11" x14ac:dyDescent="0.3">
      <c r="G661" t="s">
        <v>291</v>
      </c>
      <c r="H661" s="1">
        <v>1000</v>
      </c>
      <c r="I661" s="1" t="s">
        <v>331</v>
      </c>
      <c r="J661" s="11">
        <v>45873</v>
      </c>
      <c r="K661" t="s">
        <v>91</v>
      </c>
    </row>
    <row r="662" spans="7:11" x14ac:dyDescent="0.3">
      <c r="G662" t="s">
        <v>153</v>
      </c>
      <c r="H662" s="1">
        <v>1500</v>
      </c>
      <c r="I662" s="1" t="s">
        <v>331</v>
      </c>
      <c r="J662" s="11">
        <v>45873</v>
      </c>
      <c r="K662" t="s">
        <v>96</v>
      </c>
    </row>
    <row r="663" spans="7:11" x14ac:dyDescent="0.3">
      <c r="G663" t="s">
        <v>215</v>
      </c>
      <c r="H663" s="1">
        <v>680</v>
      </c>
      <c r="I663" s="1" t="s">
        <v>331</v>
      </c>
      <c r="J663" s="11">
        <v>45874</v>
      </c>
      <c r="K663" t="s">
        <v>270</v>
      </c>
    </row>
    <row r="664" spans="7:11" x14ac:dyDescent="0.3">
      <c r="G664" t="s">
        <v>340</v>
      </c>
      <c r="H664" s="1">
        <v>300</v>
      </c>
      <c r="I664" s="1" t="s">
        <v>331</v>
      </c>
      <c r="J664" s="11">
        <v>45874</v>
      </c>
      <c r="K664" t="s">
        <v>270</v>
      </c>
    </row>
    <row r="665" spans="7:11" x14ac:dyDescent="0.3">
      <c r="G665" t="s">
        <v>339</v>
      </c>
      <c r="H665" s="1">
        <v>780</v>
      </c>
      <c r="I665" s="1" t="s">
        <v>331</v>
      </c>
      <c r="J665" s="11">
        <v>45874</v>
      </c>
      <c r="K665" t="s">
        <v>275</v>
      </c>
    </row>
    <row r="666" spans="7:11" x14ac:dyDescent="0.3">
      <c r="G666" t="s">
        <v>33</v>
      </c>
      <c r="H666" s="1">
        <v>291</v>
      </c>
      <c r="I666" s="1" t="s">
        <v>331</v>
      </c>
      <c r="J666" s="11">
        <v>45874</v>
      </c>
      <c r="K666" t="s">
        <v>97</v>
      </c>
    </row>
    <row r="667" spans="7:11" x14ac:dyDescent="0.3">
      <c r="G667" t="s">
        <v>49</v>
      </c>
      <c r="H667" s="1">
        <v>440</v>
      </c>
      <c r="I667" s="1" t="s">
        <v>331</v>
      </c>
      <c r="J667" s="11">
        <v>45874</v>
      </c>
      <c r="K667" t="s">
        <v>95</v>
      </c>
    </row>
    <row r="668" spans="7:11" x14ac:dyDescent="0.3">
      <c r="G668" t="s">
        <v>294</v>
      </c>
      <c r="H668" s="1">
        <v>42</v>
      </c>
      <c r="I668" s="1" t="s">
        <v>331</v>
      </c>
      <c r="J668" s="11">
        <v>45875</v>
      </c>
      <c r="K668" t="s">
        <v>95</v>
      </c>
    </row>
    <row r="669" spans="7:11" x14ac:dyDescent="0.3">
      <c r="G669" t="s">
        <v>317</v>
      </c>
      <c r="H669" s="1">
        <v>900</v>
      </c>
      <c r="I669" s="1" t="s">
        <v>331</v>
      </c>
      <c r="J669" s="11">
        <v>45875</v>
      </c>
      <c r="K669" t="s">
        <v>270</v>
      </c>
    </row>
    <row r="670" spans="7:11" x14ac:dyDescent="0.3">
      <c r="G670" t="s">
        <v>318</v>
      </c>
      <c r="H670" s="1">
        <v>1190</v>
      </c>
      <c r="I670" s="1" t="s">
        <v>331</v>
      </c>
      <c r="J670" s="11">
        <v>45875</v>
      </c>
      <c r="K670" t="s">
        <v>270</v>
      </c>
    </row>
    <row r="671" spans="7:11" x14ac:dyDescent="0.3">
      <c r="G671" t="s">
        <v>341</v>
      </c>
      <c r="H671" s="1">
        <v>560</v>
      </c>
      <c r="I671" s="1" t="s">
        <v>331</v>
      </c>
      <c r="J671" s="11">
        <v>45875</v>
      </c>
      <c r="K671" t="s">
        <v>270</v>
      </c>
    </row>
    <row r="672" spans="7:11" x14ac:dyDescent="0.3">
      <c r="G672" t="s">
        <v>343</v>
      </c>
      <c r="H672" s="1">
        <v>231.29</v>
      </c>
      <c r="I672" s="1" t="s">
        <v>331</v>
      </c>
      <c r="J672" s="11">
        <v>45875</v>
      </c>
      <c r="K672" t="s">
        <v>91</v>
      </c>
    </row>
    <row r="673" spans="7:11" x14ac:dyDescent="0.3">
      <c r="G673" t="s">
        <v>152</v>
      </c>
      <c r="H673" s="1">
        <v>5500</v>
      </c>
      <c r="I673" s="1" t="s">
        <v>331</v>
      </c>
      <c r="J673" s="11">
        <v>45875</v>
      </c>
      <c r="K673" t="s">
        <v>152</v>
      </c>
    </row>
    <row r="674" spans="7:11" x14ac:dyDescent="0.3">
      <c r="G674" t="s">
        <v>304</v>
      </c>
      <c r="H674" s="1">
        <v>110</v>
      </c>
      <c r="I674" s="1" t="s">
        <v>331</v>
      </c>
      <c r="J674" s="11">
        <v>45875</v>
      </c>
      <c r="K674" t="s">
        <v>96</v>
      </c>
    </row>
    <row r="675" spans="7:11" x14ac:dyDescent="0.3">
      <c r="G675" t="s">
        <v>149</v>
      </c>
      <c r="H675" s="1">
        <v>120</v>
      </c>
      <c r="I675" s="1" t="s">
        <v>331</v>
      </c>
      <c r="J675" s="11">
        <v>45875</v>
      </c>
      <c r="K675" t="s">
        <v>210</v>
      </c>
    </row>
    <row r="676" spans="7:11" x14ac:dyDescent="0.3">
      <c r="G676" t="s">
        <v>344</v>
      </c>
      <c r="H676" s="1">
        <v>50</v>
      </c>
      <c r="I676" s="1" t="s">
        <v>331</v>
      </c>
      <c r="J676" s="11">
        <v>45875</v>
      </c>
      <c r="K676" t="s">
        <v>270</v>
      </c>
    </row>
    <row r="677" spans="7:11" x14ac:dyDescent="0.3">
      <c r="G677" t="s">
        <v>342</v>
      </c>
      <c r="H677" s="1">
        <v>564</v>
      </c>
      <c r="I677" s="1" t="s">
        <v>331</v>
      </c>
      <c r="J677" s="11">
        <v>45875</v>
      </c>
      <c r="K677" t="s">
        <v>275</v>
      </c>
    </row>
    <row r="678" spans="7:11" x14ac:dyDescent="0.3">
      <c r="G678" t="s">
        <v>217</v>
      </c>
      <c r="H678" s="1">
        <v>40</v>
      </c>
      <c r="I678" s="1" t="s">
        <v>331</v>
      </c>
      <c r="J678" s="11">
        <v>45875</v>
      </c>
      <c r="K678" t="s">
        <v>95</v>
      </c>
    </row>
    <row r="679" spans="7:11" x14ac:dyDescent="0.3">
      <c r="G679" t="s">
        <v>276</v>
      </c>
      <c r="H679" s="1">
        <v>280</v>
      </c>
      <c r="I679" s="1" t="s">
        <v>331</v>
      </c>
      <c r="J679" s="11">
        <v>45877</v>
      </c>
      <c r="K679" t="s">
        <v>95</v>
      </c>
    </row>
    <row r="680" spans="7:11" x14ac:dyDescent="0.3">
      <c r="G680" t="s">
        <v>345</v>
      </c>
      <c r="H680" s="1">
        <v>40.5</v>
      </c>
      <c r="I680" s="1" t="s">
        <v>331</v>
      </c>
      <c r="J680" s="11">
        <v>45877</v>
      </c>
      <c r="K680" t="s">
        <v>97</v>
      </c>
    </row>
    <row r="681" spans="7:11" x14ac:dyDescent="0.3">
      <c r="G681" t="s">
        <v>184</v>
      </c>
      <c r="H681" s="1">
        <v>127</v>
      </c>
      <c r="I681" s="1" t="s">
        <v>331</v>
      </c>
      <c r="J681" s="11">
        <v>45877</v>
      </c>
      <c r="K681" t="s">
        <v>96</v>
      </c>
    </row>
    <row r="682" spans="7:11" x14ac:dyDescent="0.3">
      <c r="G682" t="s">
        <v>149</v>
      </c>
      <c r="H682" s="1">
        <v>17.5</v>
      </c>
      <c r="I682" s="1" t="s">
        <v>331</v>
      </c>
      <c r="J682" s="11">
        <v>45877</v>
      </c>
      <c r="K682" t="s">
        <v>210</v>
      </c>
    </row>
    <row r="683" spans="7:11" x14ac:dyDescent="0.3">
      <c r="G683" t="s">
        <v>143</v>
      </c>
      <c r="H683" s="1">
        <v>5</v>
      </c>
      <c r="I683" s="1" t="s">
        <v>331</v>
      </c>
      <c r="J683" s="11">
        <v>45877</v>
      </c>
      <c r="K683" t="s">
        <v>143</v>
      </c>
    </row>
    <row r="684" spans="7:11" x14ac:dyDescent="0.3">
      <c r="G684" t="s">
        <v>348</v>
      </c>
      <c r="H684" s="1">
        <v>1350</v>
      </c>
      <c r="I684" s="1" t="s">
        <v>331</v>
      </c>
      <c r="J684" s="11">
        <v>45877</v>
      </c>
      <c r="K684" t="s">
        <v>270</v>
      </c>
    </row>
    <row r="685" spans="7:11" x14ac:dyDescent="0.3">
      <c r="G685" t="s">
        <v>349</v>
      </c>
      <c r="H685" s="1">
        <v>1475</v>
      </c>
      <c r="I685" s="1" t="s">
        <v>331</v>
      </c>
      <c r="J685" s="11">
        <v>45877</v>
      </c>
      <c r="K685" t="s">
        <v>270</v>
      </c>
    </row>
    <row r="686" spans="7:11" x14ac:dyDescent="0.3">
      <c r="G686" t="s">
        <v>143</v>
      </c>
      <c r="H686" s="1">
        <v>10</v>
      </c>
      <c r="I686" s="1" t="s">
        <v>331</v>
      </c>
      <c r="J686" s="11">
        <v>45877</v>
      </c>
      <c r="K686" t="s">
        <v>143</v>
      </c>
    </row>
    <row r="687" spans="7:11" x14ac:dyDescent="0.3">
      <c r="G687" t="s">
        <v>312</v>
      </c>
      <c r="H687" s="1">
        <v>5.5</v>
      </c>
      <c r="I687" s="1" t="s">
        <v>331</v>
      </c>
      <c r="J687" s="11">
        <v>45877</v>
      </c>
      <c r="K687" t="s">
        <v>275</v>
      </c>
    </row>
    <row r="688" spans="7:11" x14ac:dyDescent="0.3">
      <c r="G688" t="s">
        <v>346</v>
      </c>
      <c r="H688" s="1">
        <v>32.5</v>
      </c>
      <c r="I688" s="1" t="s">
        <v>331</v>
      </c>
      <c r="J688" s="11">
        <v>45877</v>
      </c>
      <c r="K688" t="s">
        <v>275</v>
      </c>
    </row>
    <row r="689" spans="7:11" x14ac:dyDescent="0.3">
      <c r="G689" t="s">
        <v>347</v>
      </c>
      <c r="H689" s="1">
        <v>435</v>
      </c>
      <c r="I689" s="1" t="s">
        <v>331</v>
      </c>
      <c r="J689" s="11">
        <v>45877</v>
      </c>
      <c r="K689" t="s">
        <v>275</v>
      </c>
    </row>
    <row r="690" spans="7:11" x14ac:dyDescent="0.3">
      <c r="G690" t="s">
        <v>243</v>
      </c>
      <c r="H690" s="1">
        <v>860</v>
      </c>
      <c r="I690" s="1" t="s">
        <v>331</v>
      </c>
      <c r="J690" s="11">
        <v>45880</v>
      </c>
      <c r="K690" t="s">
        <v>95</v>
      </c>
    </row>
    <row r="691" spans="7:11" x14ac:dyDescent="0.3">
      <c r="G691" t="s">
        <v>345</v>
      </c>
      <c r="H691" s="1">
        <v>1045</v>
      </c>
      <c r="I691" s="1" t="s">
        <v>331</v>
      </c>
      <c r="J691" s="11">
        <v>45880</v>
      </c>
      <c r="K691" t="s">
        <v>97</v>
      </c>
    </row>
    <row r="692" spans="7:11" x14ac:dyDescent="0.3">
      <c r="G692" t="s">
        <v>280</v>
      </c>
      <c r="H692" s="1">
        <v>173</v>
      </c>
      <c r="I692" s="1" t="s">
        <v>331</v>
      </c>
      <c r="J692" s="11">
        <v>45880</v>
      </c>
      <c r="K692" t="s">
        <v>275</v>
      </c>
    </row>
    <row r="693" spans="7:11" x14ac:dyDescent="0.3">
      <c r="G693" t="s">
        <v>143</v>
      </c>
      <c r="H693" s="1">
        <v>40</v>
      </c>
      <c r="I693" s="1" t="s">
        <v>331</v>
      </c>
      <c r="J693" s="11">
        <v>45880</v>
      </c>
      <c r="K693" t="s">
        <v>143</v>
      </c>
    </row>
    <row r="694" spans="7:11" x14ac:dyDescent="0.3">
      <c r="G694" t="s">
        <v>350</v>
      </c>
      <c r="H694" s="1">
        <v>4</v>
      </c>
      <c r="I694" s="1" t="s">
        <v>331</v>
      </c>
      <c r="J694" s="11">
        <v>45880</v>
      </c>
      <c r="K694" t="s">
        <v>275</v>
      </c>
    </row>
    <row r="695" spans="7:11" x14ac:dyDescent="0.3">
      <c r="G695" t="s">
        <v>60</v>
      </c>
      <c r="H695" s="1">
        <v>20</v>
      </c>
      <c r="I695" s="1" t="s">
        <v>331</v>
      </c>
      <c r="J695" s="11">
        <v>45880</v>
      </c>
      <c r="K695" t="s">
        <v>96</v>
      </c>
    </row>
    <row r="696" spans="7:11" x14ac:dyDescent="0.3">
      <c r="G696" t="s">
        <v>149</v>
      </c>
      <c r="H696" s="1">
        <v>250</v>
      </c>
      <c r="I696" s="1" t="s">
        <v>331</v>
      </c>
      <c r="J696" s="11">
        <v>45880</v>
      </c>
      <c r="K696" t="s">
        <v>210</v>
      </c>
    </row>
    <row r="697" spans="7:11" x14ac:dyDescent="0.3">
      <c r="G697" t="s">
        <v>310</v>
      </c>
      <c r="H697" s="1">
        <v>1060</v>
      </c>
      <c r="I697" s="1" t="s">
        <v>331</v>
      </c>
      <c r="J697" s="11">
        <v>45880</v>
      </c>
      <c r="K697" t="s">
        <v>90</v>
      </c>
    </row>
    <row r="698" spans="7:11" x14ac:dyDescent="0.3">
      <c r="G698" t="s">
        <v>324</v>
      </c>
      <c r="H698" s="1">
        <v>400</v>
      </c>
      <c r="I698" s="1" t="s">
        <v>331</v>
      </c>
      <c r="J698" s="11">
        <v>45880</v>
      </c>
      <c r="K698" t="s">
        <v>90</v>
      </c>
    </row>
    <row r="699" spans="7:11" x14ac:dyDescent="0.3">
      <c r="G699" t="s">
        <v>70</v>
      </c>
      <c r="H699" s="1">
        <v>300</v>
      </c>
      <c r="I699" s="1" t="s">
        <v>331</v>
      </c>
      <c r="J699" s="11">
        <v>45880</v>
      </c>
      <c r="K699" t="s">
        <v>275</v>
      </c>
    </row>
    <row r="700" spans="7:11" x14ac:dyDescent="0.3">
      <c r="G700" t="s">
        <v>223</v>
      </c>
      <c r="H700" s="1">
        <v>270</v>
      </c>
      <c r="I700" s="1" t="s">
        <v>331</v>
      </c>
      <c r="J700" s="11">
        <v>45880</v>
      </c>
      <c r="K700" t="s">
        <v>275</v>
      </c>
    </row>
    <row r="701" spans="7:11" x14ac:dyDescent="0.3">
      <c r="G701" t="s">
        <v>33</v>
      </c>
      <c r="H701" s="1">
        <v>645</v>
      </c>
      <c r="I701" s="1" t="s">
        <v>331</v>
      </c>
      <c r="J701" s="11">
        <v>45880</v>
      </c>
      <c r="K701" t="s">
        <v>97</v>
      </c>
    </row>
    <row r="702" spans="7:11" x14ac:dyDescent="0.3">
      <c r="G702" t="s">
        <v>49</v>
      </c>
      <c r="H702" s="1">
        <v>385</v>
      </c>
      <c r="I702" s="1" t="s">
        <v>331</v>
      </c>
      <c r="J702" s="11">
        <v>45880</v>
      </c>
      <c r="K702" t="s">
        <v>95</v>
      </c>
    </row>
    <row r="703" spans="7:11" x14ac:dyDescent="0.3">
      <c r="G703" t="s">
        <v>352</v>
      </c>
      <c r="H703" s="1">
        <v>190</v>
      </c>
      <c r="I703" s="1" t="s">
        <v>331</v>
      </c>
      <c r="J703" s="11">
        <v>45881</v>
      </c>
      <c r="K703" t="s">
        <v>97</v>
      </c>
    </row>
    <row r="704" spans="7:11" x14ac:dyDescent="0.3">
      <c r="G704" t="s">
        <v>351</v>
      </c>
      <c r="H704" s="1">
        <v>4922</v>
      </c>
      <c r="I704" s="1" t="s">
        <v>331</v>
      </c>
      <c r="J704" s="11">
        <v>45881</v>
      </c>
      <c r="K704" t="s">
        <v>351</v>
      </c>
    </row>
    <row r="705" spans="7:11" x14ac:dyDescent="0.3">
      <c r="G705" t="s">
        <v>190</v>
      </c>
      <c r="H705" s="1">
        <v>170</v>
      </c>
      <c r="I705" s="1" t="s">
        <v>331</v>
      </c>
      <c r="J705" s="11">
        <v>45882</v>
      </c>
      <c r="K705" t="s">
        <v>170</v>
      </c>
    </row>
    <row r="706" spans="7:11" x14ac:dyDescent="0.3">
      <c r="G706" t="s">
        <v>305</v>
      </c>
      <c r="H706" s="1">
        <v>100</v>
      </c>
      <c r="I706" s="1" t="s">
        <v>331</v>
      </c>
      <c r="J706" s="11">
        <v>45882</v>
      </c>
      <c r="K706" t="s">
        <v>95</v>
      </c>
    </row>
    <row r="707" spans="7:11" x14ac:dyDescent="0.3">
      <c r="G707" t="s">
        <v>243</v>
      </c>
      <c r="H707" s="1">
        <v>40</v>
      </c>
      <c r="I707" s="1" t="s">
        <v>331</v>
      </c>
      <c r="J707" s="11">
        <v>45882</v>
      </c>
      <c r="K707" t="s">
        <v>95</v>
      </c>
    </row>
    <row r="708" spans="7:11" x14ac:dyDescent="0.3">
      <c r="G708" t="s">
        <v>20</v>
      </c>
      <c r="H708" s="1">
        <v>60</v>
      </c>
      <c r="I708" s="1" t="s">
        <v>331</v>
      </c>
      <c r="J708" s="11">
        <v>45882</v>
      </c>
      <c r="K708" t="s">
        <v>275</v>
      </c>
    </row>
    <row r="709" spans="7:11" x14ac:dyDescent="0.3">
      <c r="G709" t="s">
        <v>143</v>
      </c>
      <c r="H709" s="1">
        <v>7</v>
      </c>
      <c r="I709" s="1" t="s">
        <v>331</v>
      </c>
      <c r="J709" s="11">
        <v>45882</v>
      </c>
      <c r="K709" t="s">
        <v>143</v>
      </c>
    </row>
    <row r="710" spans="7:11" x14ac:dyDescent="0.3">
      <c r="G710" t="s">
        <v>161</v>
      </c>
      <c r="H710" s="1">
        <v>600</v>
      </c>
      <c r="I710" s="1" t="s">
        <v>331</v>
      </c>
      <c r="J710" s="11">
        <v>45882</v>
      </c>
      <c r="K710" t="s">
        <v>161</v>
      </c>
    </row>
    <row r="711" spans="7:11" x14ac:dyDescent="0.3">
      <c r="G711" t="s">
        <v>317</v>
      </c>
      <c r="H711" s="1">
        <v>1132</v>
      </c>
      <c r="I711" s="1" t="s">
        <v>331</v>
      </c>
      <c r="J711" s="11">
        <v>45882</v>
      </c>
      <c r="K711" t="s">
        <v>90</v>
      </c>
    </row>
    <row r="712" spans="7:11" x14ac:dyDescent="0.3">
      <c r="G712" t="s">
        <v>318</v>
      </c>
      <c r="H712" s="1">
        <v>1335</v>
      </c>
      <c r="I712" s="1" t="s">
        <v>331</v>
      </c>
      <c r="J712" s="11">
        <v>45882</v>
      </c>
      <c r="K712" t="s">
        <v>90</v>
      </c>
    </row>
    <row r="713" spans="7:11" x14ac:dyDescent="0.3">
      <c r="G713" t="s">
        <v>353</v>
      </c>
      <c r="H713" s="1">
        <v>1620</v>
      </c>
      <c r="I713" s="1" t="s">
        <v>331</v>
      </c>
      <c r="J713" s="11">
        <v>45882</v>
      </c>
      <c r="K713" t="s">
        <v>90</v>
      </c>
    </row>
    <row r="714" spans="7:11" x14ac:dyDescent="0.3">
      <c r="G714" t="s">
        <v>354</v>
      </c>
      <c r="H714" s="1">
        <v>1050</v>
      </c>
      <c r="I714" s="1" t="s">
        <v>331</v>
      </c>
      <c r="J714" s="11">
        <v>45882</v>
      </c>
      <c r="K714" t="s">
        <v>90</v>
      </c>
    </row>
    <row r="715" spans="7:11" x14ac:dyDescent="0.3">
      <c r="G715" t="s">
        <v>243</v>
      </c>
      <c r="H715" s="1">
        <v>80</v>
      </c>
      <c r="I715" s="1" t="s">
        <v>331</v>
      </c>
      <c r="J715" s="11">
        <v>45883</v>
      </c>
      <c r="K715" t="s">
        <v>95</v>
      </c>
    </row>
    <row r="716" spans="7:11" x14ac:dyDescent="0.3">
      <c r="G716" t="s">
        <v>356</v>
      </c>
      <c r="H716" s="1">
        <v>200</v>
      </c>
      <c r="I716" s="1" t="s">
        <v>331</v>
      </c>
      <c r="J716" s="11">
        <v>45883</v>
      </c>
      <c r="K716" t="s">
        <v>275</v>
      </c>
    </row>
    <row r="717" spans="7:11" x14ac:dyDescent="0.3">
      <c r="G717" t="s">
        <v>344</v>
      </c>
      <c r="H717" s="1">
        <v>400</v>
      </c>
      <c r="I717" s="1" t="s">
        <v>331</v>
      </c>
      <c r="J717" s="11">
        <v>45883</v>
      </c>
      <c r="K717" t="s">
        <v>90</v>
      </c>
    </row>
    <row r="718" spans="7:11" x14ac:dyDescent="0.3">
      <c r="G718" t="s">
        <v>355</v>
      </c>
      <c r="H718" s="1">
        <v>1500</v>
      </c>
      <c r="I718" s="1" t="s">
        <v>331</v>
      </c>
      <c r="J718" s="11">
        <v>45883</v>
      </c>
      <c r="K718" t="s">
        <v>355</v>
      </c>
    </row>
    <row r="719" spans="7:11" x14ac:dyDescent="0.3">
      <c r="G719" t="s">
        <v>341</v>
      </c>
      <c r="H719" s="1">
        <v>600</v>
      </c>
      <c r="I719" s="1" t="s">
        <v>331</v>
      </c>
      <c r="J719" s="11">
        <v>45883</v>
      </c>
      <c r="K719" t="s">
        <v>90</v>
      </c>
    </row>
    <row r="720" spans="7:11" x14ac:dyDescent="0.3">
      <c r="G720" t="s">
        <v>357</v>
      </c>
      <c r="H720" s="1">
        <v>600</v>
      </c>
      <c r="I720" s="1" t="s">
        <v>331</v>
      </c>
      <c r="J720" s="11">
        <v>45883</v>
      </c>
      <c r="K720" t="s">
        <v>90</v>
      </c>
    </row>
    <row r="721" spans="7:11" x14ac:dyDescent="0.3">
      <c r="G721" t="s">
        <v>358</v>
      </c>
      <c r="H721" s="1">
        <v>2014</v>
      </c>
      <c r="I721" s="1" t="s">
        <v>331</v>
      </c>
      <c r="J721" s="11">
        <v>45884</v>
      </c>
      <c r="K721" t="s">
        <v>95</v>
      </c>
    </row>
    <row r="722" spans="7:11" x14ac:dyDescent="0.3">
      <c r="G722" t="s">
        <v>143</v>
      </c>
      <c r="H722" s="1">
        <v>75</v>
      </c>
      <c r="I722" s="1" t="s">
        <v>331</v>
      </c>
      <c r="J722" s="11">
        <v>45884</v>
      </c>
      <c r="K722" t="s">
        <v>143</v>
      </c>
    </row>
    <row r="723" spans="7:11" x14ac:dyDescent="0.3">
      <c r="G723" t="s">
        <v>143</v>
      </c>
      <c r="H723" s="1">
        <v>20</v>
      </c>
      <c r="I723" s="1" t="s">
        <v>331</v>
      </c>
      <c r="J723" s="11">
        <v>45884</v>
      </c>
      <c r="K723" t="s">
        <v>143</v>
      </c>
    </row>
    <row r="724" spans="7:11" x14ac:dyDescent="0.3">
      <c r="G724" t="s">
        <v>348</v>
      </c>
      <c r="H724" s="1">
        <v>1059.8</v>
      </c>
      <c r="I724" s="1" t="s">
        <v>331</v>
      </c>
      <c r="J724" s="11">
        <v>45884</v>
      </c>
      <c r="K724" t="s">
        <v>90</v>
      </c>
    </row>
    <row r="725" spans="7:11" x14ac:dyDescent="0.3">
      <c r="G725" t="s">
        <v>33</v>
      </c>
      <c r="H725" s="1">
        <v>645</v>
      </c>
      <c r="I725" s="1" t="s">
        <v>331</v>
      </c>
      <c r="J725" s="11">
        <v>45884</v>
      </c>
      <c r="K725" t="s">
        <v>97</v>
      </c>
    </row>
    <row r="726" spans="7:11" x14ac:dyDescent="0.3">
      <c r="G726" t="s">
        <v>229</v>
      </c>
      <c r="H726" s="1">
        <v>280</v>
      </c>
      <c r="I726" s="1" t="s">
        <v>331</v>
      </c>
      <c r="J726" s="11">
        <v>45885</v>
      </c>
      <c r="K726" t="s">
        <v>95</v>
      </c>
    </row>
    <row r="727" spans="7:11" x14ac:dyDescent="0.3">
      <c r="G727" t="s">
        <v>143</v>
      </c>
      <c r="H727" s="1">
        <v>20</v>
      </c>
      <c r="I727" s="1" t="s">
        <v>331</v>
      </c>
      <c r="J727" s="11">
        <v>45885</v>
      </c>
      <c r="K727" t="s">
        <v>143</v>
      </c>
    </row>
    <row r="728" spans="7:11" x14ac:dyDescent="0.3">
      <c r="G728" t="s">
        <v>337</v>
      </c>
      <c r="H728" s="1">
        <v>40</v>
      </c>
      <c r="I728" s="1" t="s">
        <v>331</v>
      </c>
      <c r="J728" s="11">
        <v>45885</v>
      </c>
      <c r="K728" t="s">
        <v>90</v>
      </c>
    </row>
    <row r="729" spans="7:11" x14ac:dyDescent="0.3">
      <c r="G729" t="s">
        <v>349</v>
      </c>
      <c r="H729" s="1">
        <v>890</v>
      </c>
      <c r="I729" s="1" t="s">
        <v>331</v>
      </c>
      <c r="J729" s="11">
        <v>45885</v>
      </c>
      <c r="K729" t="s">
        <v>90</v>
      </c>
    </row>
    <row r="730" spans="7:11" x14ac:dyDescent="0.3">
      <c r="G730" t="s">
        <v>205</v>
      </c>
      <c r="H730" s="1">
        <v>170</v>
      </c>
      <c r="I730" s="1" t="s">
        <v>331</v>
      </c>
      <c r="J730" s="11">
        <v>45885</v>
      </c>
      <c r="K730" t="s">
        <v>205</v>
      </c>
    </row>
    <row r="731" spans="7:11" x14ac:dyDescent="0.3">
      <c r="G731" t="s">
        <v>359</v>
      </c>
      <c r="H731" s="1">
        <v>30</v>
      </c>
      <c r="I731" s="1" t="s">
        <v>331</v>
      </c>
      <c r="J731" s="11">
        <v>45885</v>
      </c>
      <c r="K731" t="s">
        <v>275</v>
      </c>
    </row>
    <row r="732" spans="7:11" x14ac:dyDescent="0.3">
      <c r="G732" t="s">
        <v>229</v>
      </c>
      <c r="H732" s="1">
        <v>280</v>
      </c>
      <c r="I732" s="1" t="s">
        <v>331</v>
      </c>
      <c r="J732" s="11">
        <v>45887</v>
      </c>
      <c r="K732" t="s">
        <v>95</v>
      </c>
    </row>
    <row r="733" spans="7:11" x14ac:dyDescent="0.3">
      <c r="G733" t="s">
        <v>80</v>
      </c>
      <c r="H733" s="1">
        <v>740</v>
      </c>
      <c r="I733" s="1" t="s">
        <v>331</v>
      </c>
      <c r="J733" s="11">
        <v>45887</v>
      </c>
      <c r="K733" t="s">
        <v>95</v>
      </c>
    </row>
    <row r="734" spans="7:11" x14ac:dyDescent="0.3">
      <c r="G734" t="s">
        <v>243</v>
      </c>
      <c r="H734" s="1">
        <v>80</v>
      </c>
      <c r="I734" s="1" t="s">
        <v>331</v>
      </c>
      <c r="J734" s="11">
        <v>45887</v>
      </c>
      <c r="K734" t="s">
        <v>95</v>
      </c>
    </row>
    <row r="735" spans="7:11" x14ac:dyDescent="0.3">
      <c r="G735" t="s">
        <v>243</v>
      </c>
      <c r="H735" s="1">
        <v>40</v>
      </c>
      <c r="I735" s="1" t="s">
        <v>331</v>
      </c>
      <c r="J735" s="11">
        <v>45887</v>
      </c>
      <c r="K735" t="s">
        <v>95</v>
      </c>
    </row>
    <row r="736" spans="7:11" x14ac:dyDescent="0.3">
      <c r="G736" t="s">
        <v>58</v>
      </c>
      <c r="H736" s="1">
        <v>288.39999999999998</v>
      </c>
      <c r="I736" s="1" t="s">
        <v>331</v>
      </c>
      <c r="J736" s="11">
        <v>45887</v>
      </c>
      <c r="K736" t="s">
        <v>97</v>
      </c>
    </row>
    <row r="737" spans="7:11" x14ac:dyDescent="0.3">
      <c r="G737" t="s">
        <v>143</v>
      </c>
      <c r="H737" s="1">
        <v>20</v>
      </c>
      <c r="I737" s="1" t="s">
        <v>331</v>
      </c>
      <c r="J737" s="11">
        <v>45887</v>
      </c>
      <c r="K737" t="s">
        <v>143</v>
      </c>
    </row>
    <row r="738" spans="7:11" x14ac:dyDescent="0.3">
      <c r="G738" t="s">
        <v>143</v>
      </c>
      <c r="H738" s="1">
        <v>18.3</v>
      </c>
      <c r="I738" s="1" t="s">
        <v>331</v>
      </c>
      <c r="J738" s="11">
        <v>45887</v>
      </c>
      <c r="K738" t="s">
        <v>143</v>
      </c>
    </row>
    <row r="739" spans="7:11" x14ac:dyDescent="0.3">
      <c r="G739" t="s">
        <v>360</v>
      </c>
      <c r="H739" s="1">
        <v>83</v>
      </c>
      <c r="I739" s="1" t="s">
        <v>331</v>
      </c>
      <c r="J739" s="11">
        <v>45887</v>
      </c>
      <c r="K739" t="s">
        <v>96</v>
      </c>
    </row>
    <row r="740" spans="7:11" x14ac:dyDescent="0.3">
      <c r="G740" t="s">
        <v>361</v>
      </c>
      <c r="H740" s="1">
        <v>1070</v>
      </c>
      <c r="I740" s="1" t="s">
        <v>331</v>
      </c>
      <c r="J740" s="11">
        <v>45887</v>
      </c>
      <c r="K740" t="s">
        <v>90</v>
      </c>
    </row>
    <row r="741" spans="7:11" x14ac:dyDescent="0.3">
      <c r="G741" t="s">
        <v>149</v>
      </c>
      <c r="H741" s="1">
        <v>300</v>
      </c>
      <c r="I741" s="1" t="s">
        <v>331</v>
      </c>
      <c r="J741" s="11">
        <v>45887</v>
      </c>
      <c r="K741" t="s">
        <v>210</v>
      </c>
    </row>
    <row r="742" spans="7:11" x14ac:dyDescent="0.3">
      <c r="G742" t="s">
        <v>275</v>
      </c>
      <c r="H742" s="1">
        <v>24</v>
      </c>
      <c r="I742" s="1" t="s">
        <v>331</v>
      </c>
      <c r="J742" s="11">
        <v>45887</v>
      </c>
      <c r="K742" t="s">
        <v>275</v>
      </c>
    </row>
    <row r="743" spans="7:11" x14ac:dyDescent="0.3">
      <c r="G743" t="s">
        <v>340</v>
      </c>
      <c r="H743" s="1">
        <v>600</v>
      </c>
      <c r="I743" s="1" t="s">
        <v>331</v>
      </c>
      <c r="J743" s="11">
        <v>45887</v>
      </c>
      <c r="K743" t="s">
        <v>90</v>
      </c>
    </row>
    <row r="744" spans="7:11" x14ac:dyDescent="0.3">
      <c r="G744" t="s">
        <v>362</v>
      </c>
      <c r="H744" s="1">
        <v>100</v>
      </c>
      <c r="I744" s="1" t="s">
        <v>331</v>
      </c>
      <c r="J744" s="11">
        <v>45887</v>
      </c>
      <c r="K744" t="s">
        <v>90</v>
      </c>
    </row>
    <row r="745" spans="7:11" x14ac:dyDescent="0.3">
      <c r="G745" t="s">
        <v>162</v>
      </c>
      <c r="H745" s="1">
        <v>786.99</v>
      </c>
      <c r="I745" s="1" t="s">
        <v>331</v>
      </c>
      <c r="J745" s="11">
        <v>45887</v>
      </c>
      <c r="K745" t="s">
        <v>90</v>
      </c>
    </row>
    <row r="746" spans="7:11" x14ac:dyDescent="0.3">
      <c r="G746" t="s">
        <v>219</v>
      </c>
      <c r="H746" s="1">
        <v>1132.1199999999999</v>
      </c>
      <c r="I746" s="1" t="s">
        <v>331</v>
      </c>
      <c r="J746" s="11">
        <v>45887</v>
      </c>
      <c r="K746" t="s">
        <v>219</v>
      </c>
    </row>
    <row r="747" spans="7:11" x14ac:dyDescent="0.3">
      <c r="G747" t="s">
        <v>33</v>
      </c>
      <c r="H747" s="1">
        <v>850</v>
      </c>
      <c r="I747" s="1" t="s">
        <v>331</v>
      </c>
      <c r="J747" s="11">
        <v>45887</v>
      </c>
      <c r="K747" t="s">
        <v>97</v>
      </c>
    </row>
    <row r="748" spans="7:11" x14ac:dyDescent="0.3">
      <c r="G748" t="s">
        <v>49</v>
      </c>
      <c r="H748" s="1">
        <v>495</v>
      </c>
      <c r="I748" s="1" t="s">
        <v>331</v>
      </c>
      <c r="J748" s="11">
        <v>45887</v>
      </c>
      <c r="K748" t="s">
        <v>95</v>
      </c>
    </row>
    <row r="749" spans="7:11" x14ac:dyDescent="0.3">
      <c r="G749" t="s">
        <v>353</v>
      </c>
      <c r="H749" s="1">
        <v>1080</v>
      </c>
      <c r="I749" s="1" t="s">
        <v>331</v>
      </c>
      <c r="J749" s="11">
        <v>45889</v>
      </c>
      <c r="K749" t="s">
        <v>95</v>
      </c>
    </row>
    <row r="750" spans="7:11" x14ac:dyDescent="0.3">
      <c r="G750" t="s">
        <v>243</v>
      </c>
      <c r="H750" s="1">
        <v>540</v>
      </c>
      <c r="I750" s="1" t="s">
        <v>331</v>
      </c>
      <c r="J750" s="11">
        <v>45889</v>
      </c>
      <c r="K750" t="s">
        <v>95</v>
      </c>
    </row>
    <row r="751" spans="7:11" x14ac:dyDescent="0.3">
      <c r="G751" t="s">
        <v>363</v>
      </c>
      <c r="H751" s="1">
        <v>1500</v>
      </c>
      <c r="I751" s="1" t="s">
        <v>331</v>
      </c>
      <c r="J751" s="11">
        <v>45889</v>
      </c>
      <c r="K751" t="s">
        <v>275</v>
      </c>
    </row>
    <row r="752" spans="7:11" x14ac:dyDescent="0.3">
      <c r="G752" t="s">
        <v>364</v>
      </c>
      <c r="H752" s="1">
        <v>390</v>
      </c>
      <c r="I752" s="1" t="s">
        <v>331</v>
      </c>
      <c r="J752" s="11">
        <v>45889</v>
      </c>
      <c r="K752" t="s">
        <v>90</v>
      </c>
    </row>
    <row r="753" spans="7:11" x14ac:dyDescent="0.3">
      <c r="G753" t="s">
        <v>354</v>
      </c>
      <c r="H753" s="1">
        <v>350</v>
      </c>
      <c r="I753" s="1" t="s">
        <v>331</v>
      </c>
      <c r="J753" s="11">
        <v>45889</v>
      </c>
      <c r="K753" t="s">
        <v>90</v>
      </c>
    </row>
    <row r="754" spans="7:11" x14ac:dyDescent="0.3">
      <c r="G754" t="s">
        <v>348</v>
      </c>
      <c r="H754" s="1">
        <v>460</v>
      </c>
      <c r="I754" s="1" t="s">
        <v>331</v>
      </c>
      <c r="J754" s="11">
        <v>45889</v>
      </c>
      <c r="K754" t="s">
        <v>90</v>
      </c>
    </row>
    <row r="755" spans="7:11" x14ac:dyDescent="0.3">
      <c r="G755" t="s">
        <v>162</v>
      </c>
      <c r="H755" s="1">
        <v>540</v>
      </c>
      <c r="I755" s="1" t="s">
        <v>331</v>
      </c>
      <c r="J755" s="11">
        <v>45890</v>
      </c>
      <c r="K755" t="s">
        <v>95</v>
      </c>
    </row>
    <row r="756" spans="7:11" x14ac:dyDescent="0.3">
      <c r="G756" t="s">
        <v>229</v>
      </c>
      <c r="H756" s="1">
        <v>280</v>
      </c>
      <c r="I756" s="1" t="s">
        <v>331</v>
      </c>
      <c r="J756" s="11">
        <v>45890</v>
      </c>
      <c r="K756" t="s">
        <v>95</v>
      </c>
    </row>
    <row r="757" spans="7:11" x14ac:dyDescent="0.3">
      <c r="G757" t="s">
        <v>243</v>
      </c>
      <c r="H757" s="1">
        <v>540</v>
      </c>
      <c r="I757" s="1" t="s">
        <v>331</v>
      </c>
      <c r="J757" s="11">
        <v>45890</v>
      </c>
      <c r="K757" t="s">
        <v>95</v>
      </c>
    </row>
    <row r="758" spans="7:11" x14ac:dyDescent="0.3">
      <c r="G758" t="s">
        <v>366</v>
      </c>
      <c r="H758" s="1">
        <v>300</v>
      </c>
      <c r="I758" s="1" t="s">
        <v>331</v>
      </c>
      <c r="J758" s="11">
        <v>45890</v>
      </c>
      <c r="K758" t="s">
        <v>97</v>
      </c>
    </row>
    <row r="759" spans="7:11" x14ac:dyDescent="0.3">
      <c r="G759" t="s">
        <v>365</v>
      </c>
      <c r="H759" s="1">
        <v>750</v>
      </c>
      <c r="I759" s="1" t="s">
        <v>331</v>
      </c>
      <c r="J759" s="11">
        <v>45890</v>
      </c>
      <c r="K759" t="s">
        <v>275</v>
      </c>
    </row>
    <row r="760" spans="7:11" x14ac:dyDescent="0.3">
      <c r="G760" t="s">
        <v>230</v>
      </c>
      <c r="H760" s="1">
        <v>200</v>
      </c>
      <c r="I760" s="1" t="s">
        <v>331</v>
      </c>
      <c r="J760" s="11">
        <v>45890</v>
      </c>
      <c r="K760" t="s">
        <v>230</v>
      </c>
    </row>
    <row r="761" spans="7:11" x14ac:dyDescent="0.3">
      <c r="G761" t="s">
        <v>143</v>
      </c>
      <c r="H761" s="1">
        <v>15</v>
      </c>
      <c r="I761" s="1" t="s">
        <v>331</v>
      </c>
      <c r="J761" s="11">
        <v>45890</v>
      </c>
      <c r="K761" t="s">
        <v>143</v>
      </c>
    </row>
    <row r="762" spans="7:11" x14ac:dyDescent="0.3">
      <c r="G762" t="s">
        <v>232</v>
      </c>
      <c r="H762" s="1">
        <v>645</v>
      </c>
      <c r="I762" s="1" t="s">
        <v>331</v>
      </c>
      <c r="J762" s="11">
        <v>45890</v>
      </c>
      <c r="K762" t="s">
        <v>232</v>
      </c>
    </row>
    <row r="763" spans="7:11" x14ac:dyDescent="0.3">
      <c r="G763" t="s">
        <v>162</v>
      </c>
      <c r="H763" s="1">
        <v>787</v>
      </c>
      <c r="I763" s="1" t="s">
        <v>331</v>
      </c>
      <c r="J763" s="11">
        <v>45890</v>
      </c>
      <c r="K763" t="s">
        <v>162</v>
      </c>
    </row>
    <row r="764" spans="7:11" x14ac:dyDescent="0.3">
      <c r="G764" t="s">
        <v>317</v>
      </c>
      <c r="H764" s="1">
        <v>1138</v>
      </c>
      <c r="I764" s="1" t="s">
        <v>331</v>
      </c>
      <c r="J764" s="11">
        <v>45890</v>
      </c>
      <c r="K764" t="s">
        <v>270</v>
      </c>
    </row>
    <row r="765" spans="7:11" x14ac:dyDescent="0.3">
      <c r="G765" t="s">
        <v>240</v>
      </c>
      <c r="H765" s="1">
        <v>740</v>
      </c>
      <c r="I765" s="1" t="s">
        <v>331</v>
      </c>
      <c r="J765" s="11">
        <v>45890</v>
      </c>
      <c r="K765" t="s">
        <v>270</v>
      </c>
    </row>
    <row r="766" spans="7:11" x14ac:dyDescent="0.3">
      <c r="G766" t="s">
        <v>367</v>
      </c>
      <c r="H766" s="1">
        <v>16298.38</v>
      </c>
      <c r="I766" s="1" t="s">
        <v>331</v>
      </c>
      <c r="J766" s="11">
        <v>45890</v>
      </c>
      <c r="K766" t="s">
        <v>94</v>
      </c>
    </row>
    <row r="767" spans="7:11" x14ac:dyDescent="0.3">
      <c r="G767" t="s">
        <v>368</v>
      </c>
      <c r="H767" s="1">
        <v>1700</v>
      </c>
      <c r="I767" s="1" t="s">
        <v>331</v>
      </c>
      <c r="J767" s="11">
        <v>45890</v>
      </c>
      <c r="K767" t="s">
        <v>2</v>
      </c>
    </row>
    <row r="768" spans="7:11" x14ac:dyDescent="0.3">
      <c r="G768" t="s">
        <v>298</v>
      </c>
      <c r="H768" s="1">
        <v>30</v>
      </c>
      <c r="I768" s="1" t="s">
        <v>331</v>
      </c>
      <c r="J768" s="11">
        <v>45890</v>
      </c>
      <c r="K768" t="s">
        <v>275</v>
      </c>
    </row>
    <row r="769" spans="7:11" x14ac:dyDescent="0.3">
      <c r="G769" t="s">
        <v>251</v>
      </c>
      <c r="H769" s="1">
        <v>35</v>
      </c>
      <c r="I769" s="1" t="s">
        <v>331</v>
      </c>
      <c r="J769" s="11">
        <v>45890</v>
      </c>
      <c r="K769" t="s">
        <v>275</v>
      </c>
    </row>
    <row r="770" spans="7:11" x14ac:dyDescent="0.3">
      <c r="G770" t="s">
        <v>33</v>
      </c>
      <c r="H770" s="1">
        <v>1500</v>
      </c>
      <c r="I770" s="1" t="s">
        <v>331</v>
      </c>
      <c r="J770" s="11">
        <v>45890</v>
      </c>
      <c r="K770" t="s">
        <v>97</v>
      </c>
    </row>
    <row r="771" spans="7:11" x14ac:dyDescent="0.3">
      <c r="G771" t="s">
        <v>33</v>
      </c>
      <c r="H771" s="1">
        <v>746</v>
      </c>
      <c r="I771" s="1" t="s">
        <v>331</v>
      </c>
      <c r="J771" s="11">
        <v>45890</v>
      </c>
      <c r="K771" t="s">
        <v>97</v>
      </c>
    </row>
    <row r="772" spans="7:11" x14ac:dyDescent="0.3">
      <c r="G772" t="s">
        <v>229</v>
      </c>
      <c r="H772" s="1">
        <v>460</v>
      </c>
      <c r="I772" s="1" t="s">
        <v>331</v>
      </c>
      <c r="J772" s="11">
        <v>45891</v>
      </c>
      <c r="K772" t="s">
        <v>95</v>
      </c>
    </row>
    <row r="773" spans="7:11" x14ac:dyDescent="0.3">
      <c r="G773" t="s">
        <v>243</v>
      </c>
      <c r="H773" s="1">
        <v>540</v>
      </c>
      <c r="I773" s="1" t="s">
        <v>331</v>
      </c>
      <c r="J773" s="11">
        <v>45891</v>
      </c>
      <c r="K773" t="s">
        <v>95</v>
      </c>
    </row>
    <row r="774" spans="7:11" x14ac:dyDescent="0.3">
      <c r="G774" t="s">
        <v>143</v>
      </c>
      <c r="H774" s="1">
        <v>18</v>
      </c>
      <c r="I774" s="1" t="s">
        <v>331</v>
      </c>
      <c r="J774" s="11">
        <v>45892</v>
      </c>
      <c r="K774" t="s">
        <v>143</v>
      </c>
    </row>
    <row r="775" spans="7:11" x14ac:dyDescent="0.3">
      <c r="G775" t="s">
        <v>149</v>
      </c>
      <c r="H775" s="1">
        <v>55</v>
      </c>
      <c r="I775" s="1" t="s">
        <v>331</v>
      </c>
      <c r="J775" s="11">
        <v>45892</v>
      </c>
      <c r="K775" t="s">
        <v>210</v>
      </c>
    </row>
    <row r="776" spans="7:11" x14ac:dyDescent="0.3">
      <c r="G776" t="s">
        <v>149</v>
      </c>
      <c r="H776" s="1">
        <v>5</v>
      </c>
      <c r="I776" s="1" t="s">
        <v>331</v>
      </c>
      <c r="J776" s="11">
        <v>45892</v>
      </c>
      <c r="K776" t="s">
        <v>210</v>
      </c>
    </row>
    <row r="777" spans="7:11" x14ac:dyDescent="0.3">
      <c r="G777" t="s">
        <v>337</v>
      </c>
      <c r="H777" s="1">
        <v>100</v>
      </c>
      <c r="I777" s="1" t="s">
        <v>331</v>
      </c>
      <c r="J777" s="11">
        <v>45892</v>
      </c>
      <c r="K777" t="s">
        <v>270</v>
      </c>
    </row>
    <row r="778" spans="7:11" x14ac:dyDescent="0.3">
      <c r="G778" t="s">
        <v>349</v>
      </c>
      <c r="H778" s="1">
        <v>700</v>
      </c>
      <c r="I778" s="1" t="s">
        <v>331</v>
      </c>
      <c r="J778" s="11">
        <v>45892</v>
      </c>
      <c r="K778" t="s">
        <v>270</v>
      </c>
    </row>
    <row r="779" spans="7:11" x14ac:dyDescent="0.3">
      <c r="G779" t="s">
        <v>205</v>
      </c>
      <c r="H779" s="1">
        <v>170</v>
      </c>
      <c r="I779" s="1" t="s">
        <v>331</v>
      </c>
      <c r="J779" s="11">
        <v>45892</v>
      </c>
      <c r="K779" t="s">
        <v>205</v>
      </c>
    </row>
    <row r="780" spans="7:11" x14ac:dyDescent="0.3">
      <c r="G780" t="s">
        <v>369</v>
      </c>
      <c r="H780" s="1">
        <v>180</v>
      </c>
      <c r="I780" s="1" t="s">
        <v>331</v>
      </c>
      <c r="J780" s="11">
        <v>45893</v>
      </c>
      <c r="K780" t="s">
        <v>275</v>
      </c>
    </row>
    <row r="781" spans="7:11" x14ac:dyDescent="0.3">
      <c r="G781" t="s">
        <v>229</v>
      </c>
      <c r="H781" s="1">
        <v>280</v>
      </c>
      <c r="I781" s="1" t="s">
        <v>331</v>
      </c>
      <c r="J781" s="11">
        <v>45894</v>
      </c>
      <c r="K781" t="s">
        <v>95</v>
      </c>
    </row>
    <row r="782" spans="7:11" x14ac:dyDescent="0.3">
      <c r="G782" t="s">
        <v>32</v>
      </c>
      <c r="H782" s="1">
        <v>36</v>
      </c>
      <c r="I782" s="1" t="s">
        <v>331</v>
      </c>
      <c r="J782" s="11">
        <v>45894</v>
      </c>
      <c r="K782" t="s">
        <v>97</v>
      </c>
    </row>
    <row r="783" spans="7:11" x14ac:dyDescent="0.3">
      <c r="G783" t="s">
        <v>143</v>
      </c>
      <c r="H783" s="1">
        <v>64.349999999999994</v>
      </c>
      <c r="I783" s="1" t="s">
        <v>331</v>
      </c>
      <c r="J783" s="11">
        <v>45894</v>
      </c>
      <c r="K783" t="s">
        <v>143</v>
      </c>
    </row>
    <row r="784" spans="7:11" x14ac:dyDescent="0.3">
      <c r="G784" t="s">
        <v>51</v>
      </c>
      <c r="H784" s="1">
        <v>1700</v>
      </c>
      <c r="I784" s="1" t="s">
        <v>331</v>
      </c>
      <c r="J784" s="11">
        <v>45894</v>
      </c>
      <c r="K784" t="s">
        <v>96</v>
      </c>
    </row>
    <row r="785" spans="7:11" x14ac:dyDescent="0.3">
      <c r="G785" t="s">
        <v>61</v>
      </c>
      <c r="H785" s="1">
        <v>1000</v>
      </c>
      <c r="I785" s="1" t="s">
        <v>331</v>
      </c>
      <c r="J785" s="11">
        <v>45894</v>
      </c>
      <c r="K785" t="s">
        <v>61</v>
      </c>
    </row>
    <row r="786" spans="7:11" x14ac:dyDescent="0.3">
      <c r="G786" t="s">
        <v>370</v>
      </c>
      <c r="H786" s="1">
        <v>400</v>
      </c>
      <c r="I786" s="1" t="s">
        <v>331</v>
      </c>
      <c r="J786" s="11">
        <v>45894</v>
      </c>
      <c r="K786" t="s">
        <v>270</v>
      </c>
    </row>
    <row r="787" spans="7:11" x14ac:dyDescent="0.3">
      <c r="G787" t="s">
        <v>361</v>
      </c>
      <c r="H787" s="1">
        <v>640</v>
      </c>
      <c r="I787" s="1" t="s">
        <v>331</v>
      </c>
      <c r="J787" s="11">
        <v>45894</v>
      </c>
      <c r="K787" t="s">
        <v>270</v>
      </c>
    </row>
    <row r="788" spans="7:11" x14ac:dyDescent="0.3">
      <c r="G788" t="s">
        <v>371</v>
      </c>
      <c r="H788" s="1">
        <v>275</v>
      </c>
      <c r="I788" s="1" t="s">
        <v>331</v>
      </c>
      <c r="J788" s="11">
        <v>45895</v>
      </c>
      <c r="K788" t="s">
        <v>95</v>
      </c>
    </row>
    <row r="789" spans="7:11" x14ac:dyDescent="0.3">
      <c r="G789" t="s">
        <v>346</v>
      </c>
      <c r="H789" s="1">
        <v>743</v>
      </c>
      <c r="I789" s="1" t="s">
        <v>331</v>
      </c>
      <c r="J789" s="11">
        <v>45895</v>
      </c>
      <c r="K789" t="s">
        <v>275</v>
      </c>
    </row>
    <row r="790" spans="7:11" x14ac:dyDescent="0.3">
      <c r="G790" t="s">
        <v>149</v>
      </c>
      <c r="H790" s="1">
        <v>100</v>
      </c>
      <c r="I790" s="1" t="s">
        <v>331</v>
      </c>
      <c r="J790" s="11">
        <v>45895</v>
      </c>
      <c r="K790" t="s">
        <v>210</v>
      </c>
    </row>
    <row r="791" spans="7:11" x14ac:dyDescent="0.3">
      <c r="G791" t="s">
        <v>372</v>
      </c>
      <c r="H791" s="1">
        <v>830</v>
      </c>
      <c r="I791" s="1" t="s">
        <v>331</v>
      </c>
      <c r="J791" s="11">
        <v>45895</v>
      </c>
      <c r="K791" t="s">
        <v>90</v>
      </c>
    </row>
    <row r="792" spans="7:11" x14ac:dyDescent="0.3">
      <c r="G792" t="s">
        <v>373</v>
      </c>
      <c r="H792" s="1">
        <v>788</v>
      </c>
      <c r="I792" s="1" t="s">
        <v>331</v>
      </c>
      <c r="J792" s="11">
        <v>45895</v>
      </c>
      <c r="K792" t="s">
        <v>90</v>
      </c>
    </row>
    <row r="793" spans="7:11" x14ac:dyDescent="0.3">
      <c r="G793" t="s">
        <v>374</v>
      </c>
      <c r="H793" s="1">
        <v>370</v>
      </c>
      <c r="I793" s="1" t="s">
        <v>331</v>
      </c>
      <c r="J793" s="11">
        <v>45895</v>
      </c>
      <c r="K793" t="s">
        <v>90</v>
      </c>
    </row>
    <row r="794" spans="7:11" x14ac:dyDescent="0.3">
      <c r="G794" t="s">
        <v>80</v>
      </c>
      <c r="H794" s="1">
        <v>2320</v>
      </c>
      <c r="I794" s="1" t="s">
        <v>331</v>
      </c>
      <c r="J794" s="11">
        <v>45896</v>
      </c>
      <c r="K794" t="s">
        <v>95</v>
      </c>
    </row>
    <row r="795" spans="7:11" x14ac:dyDescent="0.3">
      <c r="G795" t="s">
        <v>243</v>
      </c>
      <c r="H795" s="1">
        <v>360</v>
      </c>
      <c r="I795" s="1" t="s">
        <v>331</v>
      </c>
      <c r="J795" s="11">
        <v>45896</v>
      </c>
      <c r="K795" t="s">
        <v>95</v>
      </c>
    </row>
    <row r="796" spans="7:11" x14ac:dyDescent="0.3">
      <c r="G796" t="s">
        <v>60</v>
      </c>
      <c r="H796" s="1">
        <v>20</v>
      </c>
      <c r="I796" s="1" t="s">
        <v>331</v>
      </c>
      <c r="J796" s="11">
        <v>45896</v>
      </c>
      <c r="K796" t="s">
        <v>275</v>
      </c>
    </row>
    <row r="797" spans="7:11" x14ac:dyDescent="0.3">
      <c r="G797" t="s">
        <v>344</v>
      </c>
      <c r="H797" s="1">
        <v>80</v>
      </c>
      <c r="I797" s="1" t="s">
        <v>331</v>
      </c>
      <c r="J797" s="11">
        <v>45896</v>
      </c>
      <c r="K797" t="s">
        <v>90</v>
      </c>
    </row>
    <row r="798" spans="7:11" x14ac:dyDescent="0.3">
      <c r="G798" t="s">
        <v>229</v>
      </c>
      <c r="H798" s="1">
        <v>740</v>
      </c>
      <c r="I798" s="1" t="s">
        <v>331</v>
      </c>
      <c r="J798" s="11">
        <v>45897</v>
      </c>
      <c r="K798" t="s">
        <v>95</v>
      </c>
    </row>
    <row r="799" spans="7:11" x14ac:dyDescent="0.3">
      <c r="G799" t="s">
        <v>243</v>
      </c>
      <c r="H799" s="1">
        <v>50</v>
      </c>
      <c r="I799" s="1" t="s">
        <v>331</v>
      </c>
      <c r="J799" s="11">
        <v>45897</v>
      </c>
      <c r="K799" t="s">
        <v>95</v>
      </c>
    </row>
    <row r="800" spans="7:11" x14ac:dyDescent="0.3">
      <c r="G800" t="s">
        <v>375</v>
      </c>
      <c r="H800" s="1">
        <v>150</v>
      </c>
      <c r="I800" s="1" t="s">
        <v>331</v>
      </c>
      <c r="J800" s="11">
        <v>45897</v>
      </c>
      <c r="K800" t="s">
        <v>275</v>
      </c>
    </row>
    <row r="801" spans="7:11" x14ac:dyDescent="0.3">
      <c r="G801" t="s">
        <v>346</v>
      </c>
      <c r="H801" s="1">
        <v>743</v>
      </c>
      <c r="I801" s="1" t="s">
        <v>331</v>
      </c>
      <c r="J801" s="11">
        <v>45897</v>
      </c>
      <c r="K801" t="s">
        <v>275</v>
      </c>
    </row>
    <row r="802" spans="7:11" x14ac:dyDescent="0.3">
      <c r="G802" t="s">
        <v>377</v>
      </c>
      <c r="H802" s="1">
        <v>45</v>
      </c>
      <c r="I802" s="1" t="s">
        <v>331</v>
      </c>
      <c r="J802" s="11">
        <v>45897</v>
      </c>
      <c r="K802" t="s">
        <v>275</v>
      </c>
    </row>
    <row r="803" spans="7:11" x14ac:dyDescent="0.3">
      <c r="G803" t="s">
        <v>353</v>
      </c>
      <c r="H803" s="1">
        <v>780</v>
      </c>
      <c r="I803" s="1" t="s">
        <v>331</v>
      </c>
      <c r="J803" s="11">
        <v>45897</v>
      </c>
      <c r="K803" t="s">
        <v>90</v>
      </c>
    </row>
    <row r="804" spans="7:11" x14ac:dyDescent="0.3">
      <c r="G804" t="s">
        <v>376</v>
      </c>
      <c r="H804" s="1">
        <v>50</v>
      </c>
      <c r="I804" s="1" t="s">
        <v>331</v>
      </c>
      <c r="J804" s="11">
        <v>45897</v>
      </c>
      <c r="K804" t="s">
        <v>91</v>
      </c>
    </row>
    <row r="805" spans="7:11" x14ac:dyDescent="0.3">
      <c r="G805" t="s">
        <v>251</v>
      </c>
      <c r="H805" s="1">
        <v>25</v>
      </c>
      <c r="I805" s="1" t="s">
        <v>331</v>
      </c>
      <c r="J805" s="11">
        <v>45897</v>
      </c>
      <c r="K805" t="s">
        <v>275</v>
      </c>
    </row>
    <row r="806" spans="7:11" x14ac:dyDescent="0.3">
      <c r="G806" t="s">
        <v>251</v>
      </c>
      <c r="H806" s="1">
        <v>50</v>
      </c>
      <c r="I806" s="1" t="s">
        <v>331</v>
      </c>
      <c r="J806" s="11">
        <v>45897</v>
      </c>
      <c r="K806" t="s">
        <v>275</v>
      </c>
    </row>
    <row r="807" spans="7:11" x14ac:dyDescent="0.3">
      <c r="G807" t="s">
        <v>33</v>
      </c>
      <c r="H807" s="1">
        <v>40</v>
      </c>
      <c r="I807" s="1" t="s">
        <v>331</v>
      </c>
      <c r="J807" s="11">
        <v>45897</v>
      </c>
      <c r="K807" t="s">
        <v>97</v>
      </c>
    </row>
    <row r="808" spans="7:11" x14ac:dyDescent="0.3">
      <c r="G808" t="s">
        <v>251</v>
      </c>
      <c r="H808" s="1">
        <v>25</v>
      </c>
      <c r="I808" s="1" t="s">
        <v>331</v>
      </c>
      <c r="J808" s="11">
        <v>45898</v>
      </c>
      <c r="K808" t="s">
        <v>275</v>
      </c>
    </row>
    <row r="809" spans="7:11" x14ac:dyDescent="0.3">
      <c r="G809" t="s">
        <v>341</v>
      </c>
      <c r="H809" s="1">
        <v>879.2</v>
      </c>
      <c r="I809" s="1" t="s">
        <v>331</v>
      </c>
      <c r="J809" s="11">
        <v>45898</v>
      </c>
      <c r="K809" t="s">
        <v>90</v>
      </c>
    </row>
    <row r="810" spans="7:11" x14ac:dyDescent="0.3">
      <c r="G810" t="s">
        <v>341</v>
      </c>
      <c r="H810" s="1">
        <v>40</v>
      </c>
      <c r="I810" s="1" t="s">
        <v>331</v>
      </c>
      <c r="J810" s="11">
        <v>45898</v>
      </c>
      <c r="K810" t="s">
        <v>90</v>
      </c>
    </row>
    <row r="811" spans="7:11" x14ac:dyDescent="0.3">
      <c r="G811" t="s">
        <v>376</v>
      </c>
      <c r="H811" s="1">
        <v>200</v>
      </c>
      <c r="I811" s="1" t="s">
        <v>331</v>
      </c>
      <c r="J811" s="11">
        <v>45898</v>
      </c>
      <c r="K811" t="s">
        <v>91</v>
      </c>
    </row>
    <row r="812" spans="7:11" x14ac:dyDescent="0.3">
      <c r="G812" t="s">
        <v>2</v>
      </c>
      <c r="H812" s="1">
        <v>6000</v>
      </c>
      <c r="I812" s="1" t="s">
        <v>331</v>
      </c>
      <c r="J812" s="11">
        <v>45898</v>
      </c>
      <c r="K812" t="s">
        <v>2</v>
      </c>
    </row>
    <row r="813" spans="7:11" x14ac:dyDescent="0.3">
      <c r="G813" t="s">
        <v>33</v>
      </c>
      <c r="H813" s="1">
        <v>826</v>
      </c>
      <c r="I813" s="1" t="s">
        <v>331</v>
      </c>
      <c r="J813" s="11">
        <v>45898</v>
      </c>
      <c r="K813" t="s">
        <v>97</v>
      </c>
    </row>
    <row r="814" spans="7:11" x14ac:dyDescent="0.3">
      <c r="G814" t="s">
        <v>348</v>
      </c>
      <c r="H814" s="1">
        <v>960</v>
      </c>
      <c r="I814" s="1" t="s">
        <v>331</v>
      </c>
      <c r="J814" s="11">
        <v>45899</v>
      </c>
      <c r="K814" t="s">
        <v>90</v>
      </c>
    </row>
    <row r="815" spans="7:11" x14ac:dyDescent="0.3">
      <c r="G815" t="s">
        <v>378</v>
      </c>
      <c r="H815" s="1">
        <v>1185</v>
      </c>
      <c r="I815" s="1" t="s">
        <v>331</v>
      </c>
      <c r="J815" s="11">
        <v>45899</v>
      </c>
      <c r="K815" t="s">
        <v>90</v>
      </c>
    </row>
    <row r="816" spans="7:11" x14ac:dyDescent="0.3">
      <c r="G816" t="s">
        <v>322</v>
      </c>
      <c r="H816" s="1">
        <v>170</v>
      </c>
      <c r="I816" s="1" t="s">
        <v>331</v>
      </c>
      <c r="J816" s="11">
        <v>45899</v>
      </c>
      <c r="K816" t="s">
        <v>205</v>
      </c>
    </row>
    <row r="817" spans="7:11" x14ac:dyDescent="0.3">
      <c r="G817" t="s">
        <v>229</v>
      </c>
      <c r="H817" s="1">
        <v>280</v>
      </c>
      <c r="I817" s="1" t="s">
        <v>379</v>
      </c>
      <c r="J817" s="11">
        <v>45901</v>
      </c>
      <c r="K817" t="s">
        <v>95</v>
      </c>
    </row>
    <row r="818" spans="7:11" x14ac:dyDescent="0.3">
      <c r="G818" t="s">
        <v>243</v>
      </c>
      <c r="H818" s="1">
        <v>130</v>
      </c>
      <c r="I818" s="1" t="s">
        <v>379</v>
      </c>
      <c r="J818" s="11">
        <v>45901</v>
      </c>
      <c r="K818" t="s">
        <v>95</v>
      </c>
    </row>
    <row r="819" spans="7:11" x14ac:dyDescent="0.3">
      <c r="G819" t="s">
        <v>298</v>
      </c>
      <c r="H819" s="1">
        <v>1500</v>
      </c>
      <c r="I819" s="1" t="s">
        <v>379</v>
      </c>
      <c r="J819" s="11">
        <v>45901</v>
      </c>
      <c r="K819" t="s">
        <v>91</v>
      </c>
    </row>
    <row r="820" spans="7:11" x14ac:dyDescent="0.3">
      <c r="G820" t="s">
        <v>140</v>
      </c>
      <c r="H820" s="1">
        <v>246</v>
      </c>
      <c r="I820" s="1" t="s">
        <v>379</v>
      </c>
      <c r="J820" s="11">
        <v>45901</v>
      </c>
      <c r="K820" t="s">
        <v>91</v>
      </c>
    </row>
    <row r="821" spans="7:11" x14ac:dyDescent="0.3">
      <c r="G821" t="s">
        <v>380</v>
      </c>
      <c r="H821" s="1">
        <v>451</v>
      </c>
      <c r="I821" s="1" t="s">
        <v>379</v>
      </c>
      <c r="J821" s="11">
        <v>45901</v>
      </c>
      <c r="K821" t="s">
        <v>91</v>
      </c>
    </row>
    <row r="822" spans="7:11" x14ac:dyDescent="0.3">
      <c r="G822" t="s">
        <v>381</v>
      </c>
      <c r="H822" s="1">
        <v>451</v>
      </c>
      <c r="I822" s="1" t="s">
        <v>379</v>
      </c>
      <c r="J822" s="11">
        <v>45901</v>
      </c>
      <c r="K822" t="s">
        <v>91</v>
      </c>
    </row>
    <row r="823" spans="7:11" x14ac:dyDescent="0.3">
      <c r="G823" t="s">
        <v>382</v>
      </c>
      <c r="H823" s="1">
        <v>206.4</v>
      </c>
      <c r="I823" s="1" t="s">
        <v>379</v>
      </c>
      <c r="J823" s="11">
        <v>45901</v>
      </c>
      <c r="K823" t="s">
        <v>91</v>
      </c>
    </row>
    <row r="824" spans="7:11" x14ac:dyDescent="0.3">
      <c r="G824" t="s">
        <v>383</v>
      </c>
      <c r="H824" s="1">
        <v>103.2</v>
      </c>
      <c r="I824" s="1" t="s">
        <v>379</v>
      </c>
      <c r="J824" s="11">
        <v>45901</v>
      </c>
      <c r="K824" t="s">
        <v>91</v>
      </c>
    </row>
    <row r="825" spans="7:11" x14ac:dyDescent="0.3">
      <c r="G825" t="s">
        <v>337</v>
      </c>
      <c r="H825" s="1">
        <v>100</v>
      </c>
      <c r="I825" s="1" t="s">
        <v>379</v>
      </c>
      <c r="J825" s="11">
        <v>45901</v>
      </c>
      <c r="K825" t="s">
        <v>90</v>
      </c>
    </row>
    <row r="826" spans="7:11" x14ac:dyDescent="0.3">
      <c r="G826" t="s">
        <v>139</v>
      </c>
      <c r="H826" s="1">
        <v>9</v>
      </c>
      <c r="I826" s="1" t="s">
        <v>379</v>
      </c>
      <c r="J826" s="11">
        <v>45901</v>
      </c>
      <c r="K826" t="s">
        <v>96</v>
      </c>
    </row>
    <row r="827" spans="7:11" x14ac:dyDescent="0.3">
      <c r="G827" t="s">
        <v>384</v>
      </c>
      <c r="H827" s="1">
        <v>451</v>
      </c>
      <c r="I827" s="1" t="s">
        <v>379</v>
      </c>
      <c r="J827" s="11">
        <v>45901</v>
      </c>
      <c r="K827" t="s">
        <v>91</v>
      </c>
    </row>
    <row r="828" spans="7:11" x14ac:dyDescent="0.3">
      <c r="G828" t="s">
        <v>333</v>
      </c>
      <c r="H828" s="1">
        <v>185</v>
      </c>
      <c r="I828" s="1" t="s">
        <v>379</v>
      </c>
      <c r="J828" s="11">
        <v>45901</v>
      </c>
      <c r="K828" t="s">
        <v>91</v>
      </c>
    </row>
    <row r="829" spans="7:11" x14ac:dyDescent="0.3">
      <c r="G829" t="s">
        <v>344</v>
      </c>
      <c r="H829" s="1">
        <v>40</v>
      </c>
      <c r="I829" s="1" t="s">
        <v>379</v>
      </c>
      <c r="J829" s="11">
        <v>45901</v>
      </c>
      <c r="K829" t="s">
        <v>90</v>
      </c>
    </row>
    <row r="830" spans="7:11" x14ac:dyDescent="0.3">
      <c r="G830" t="s">
        <v>341</v>
      </c>
      <c r="H830" s="1">
        <v>540</v>
      </c>
      <c r="I830" s="1" t="s">
        <v>379</v>
      </c>
      <c r="J830" s="11">
        <v>45901</v>
      </c>
      <c r="K830" t="s">
        <v>90</v>
      </c>
    </row>
    <row r="831" spans="7:11" x14ac:dyDescent="0.3">
      <c r="G831" t="s">
        <v>292</v>
      </c>
      <c r="H831" s="1">
        <v>600</v>
      </c>
      <c r="I831" s="1" t="s">
        <v>379</v>
      </c>
      <c r="J831" s="11">
        <v>45901</v>
      </c>
      <c r="K831" t="s">
        <v>275</v>
      </c>
    </row>
    <row r="832" spans="7:11" x14ac:dyDescent="0.3">
      <c r="G832" t="s">
        <v>49</v>
      </c>
      <c r="H832" s="1">
        <v>330</v>
      </c>
      <c r="I832" s="1" t="s">
        <v>379</v>
      </c>
      <c r="J832" s="11">
        <v>45901</v>
      </c>
      <c r="K832" t="s">
        <v>95</v>
      </c>
    </row>
    <row r="833" spans="7:11" x14ac:dyDescent="0.3">
      <c r="G833" t="s">
        <v>58</v>
      </c>
      <c r="H833" s="1">
        <v>60</v>
      </c>
      <c r="I833" s="1" t="s">
        <v>379</v>
      </c>
      <c r="J833" s="11">
        <v>45902</v>
      </c>
      <c r="K833" t="s">
        <v>97</v>
      </c>
    </row>
    <row r="834" spans="7:11" x14ac:dyDescent="0.3">
      <c r="G834" t="s">
        <v>385</v>
      </c>
      <c r="H834" s="1">
        <v>153</v>
      </c>
      <c r="I834" s="1" t="s">
        <v>379</v>
      </c>
      <c r="J834" s="11">
        <v>45902</v>
      </c>
      <c r="K834" t="s">
        <v>97</v>
      </c>
    </row>
    <row r="835" spans="7:11" x14ac:dyDescent="0.3">
      <c r="G835" t="s">
        <v>299</v>
      </c>
      <c r="H835" s="1">
        <v>800</v>
      </c>
      <c r="I835" s="1" t="s">
        <v>379</v>
      </c>
      <c r="J835" s="11">
        <v>45902</v>
      </c>
      <c r="K835" t="s">
        <v>91</v>
      </c>
    </row>
    <row r="836" spans="7:11" x14ac:dyDescent="0.3">
      <c r="G836" t="s">
        <v>186</v>
      </c>
      <c r="H836" s="1">
        <v>1724</v>
      </c>
      <c r="I836" s="1" t="s">
        <v>379</v>
      </c>
      <c r="J836" s="11">
        <v>45902</v>
      </c>
      <c r="K836" t="s">
        <v>91</v>
      </c>
    </row>
    <row r="837" spans="7:11" x14ac:dyDescent="0.3">
      <c r="G837" t="s">
        <v>186</v>
      </c>
      <c r="H837" s="1">
        <v>126</v>
      </c>
      <c r="I837" s="1" t="s">
        <v>379</v>
      </c>
      <c r="J837" s="11">
        <v>45902</v>
      </c>
      <c r="K837" t="s">
        <v>91</v>
      </c>
    </row>
    <row r="838" spans="7:11" x14ac:dyDescent="0.3">
      <c r="G838" t="s">
        <v>219</v>
      </c>
      <c r="H838" s="1">
        <v>390</v>
      </c>
      <c r="I838" s="1" t="s">
        <v>379</v>
      </c>
      <c r="J838" s="11">
        <v>45902</v>
      </c>
      <c r="K838" t="s">
        <v>219</v>
      </c>
    </row>
    <row r="839" spans="7:11" x14ac:dyDescent="0.3">
      <c r="G839" t="s">
        <v>291</v>
      </c>
      <c r="H839" s="1">
        <v>945</v>
      </c>
      <c r="I839" s="1" t="s">
        <v>379</v>
      </c>
      <c r="J839" s="11">
        <v>45902</v>
      </c>
      <c r="K839" t="s">
        <v>91</v>
      </c>
    </row>
    <row r="840" spans="7:11" x14ac:dyDescent="0.3">
      <c r="G840" t="s">
        <v>344</v>
      </c>
      <c r="H840" s="1">
        <v>40</v>
      </c>
      <c r="I840" s="1" t="s">
        <v>379</v>
      </c>
      <c r="J840" s="11">
        <v>45902</v>
      </c>
      <c r="K840" t="s">
        <v>90</v>
      </c>
    </row>
    <row r="841" spans="7:11" x14ac:dyDescent="0.3">
      <c r="G841" t="s">
        <v>298</v>
      </c>
      <c r="H841" s="1">
        <v>840</v>
      </c>
      <c r="I841" s="1" t="s">
        <v>379</v>
      </c>
      <c r="J841" s="11">
        <v>45902</v>
      </c>
      <c r="K841" t="s">
        <v>91</v>
      </c>
    </row>
    <row r="842" spans="7:11" x14ac:dyDescent="0.3">
      <c r="G842" t="s">
        <v>373</v>
      </c>
      <c r="H842" s="1">
        <v>692</v>
      </c>
      <c r="I842" s="1" t="s">
        <v>379</v>
      </c>
      <c r="J842" s="11">
        <v>45902</v>
      </c>
      <c r="K842" t="s">
        <v>90</v>
      </c>
    </row>
    <row r="843" spans="7:11" x14ac:dyDescent="0.3">
      <c r="G843" t="s">
        <v>386</v>
      </c>
      <c r="H843" s="1">
        <v>525</v>
      </c>
      <c r="I843" s="1" t="s">
        <v>379</v>
      </c>
      <c r="J843" s="11">
        <v>45902</v>
      </c>
      <c r="K843" t="s">
        <v>90</v>
      </c>
    </row>
    <row r="844" spans="7:11" x14ac:dyDescent="0.3">
      <c r="G844" t="s">
        <v>149</v>
      </c>
      <c r="H844" s="1">
        <v>120</v>
      </c>
      <c r="I844" s="1" t="s">
        <v>379</v>
      </c>
      <c r="J844" s="11">
        <v>45902</v>
      </c>
      <c r="K844" t="s">
        <v>210</v>
      </c>
    </row>
    <row r="845" spans="7:11" x14ac:dyDescent="0.3">
      <c r="G845" t="s">
        <v>251</v>
      </c>
      <c r="H845" s="1">
        <v>23</v>
      </c>
      <c r="I845" s="1" t="s">
        <v>379</v>
      </c>
      <c r="J845" s="11">
        <v>45902</v>
      </c>
      <c r="K845" t="s">
        <v>275</v>
      </c>
    </row>
    <row r="846" spans="7:11" x14ac:dyDescent="0.3">
      <c r="G846" t="s">
        <v>385</v>
      </c>
      <c r="H846" s="1">
        <v>21.85</v>
      </c>
      <c r="I846" s="1" t="s">
        <v>379</v>
      </c>
      <c r="J846" s="11">
        <v>45903</v>
      </c>
      <c r="K846" t="s">
        <v>97</v>
      </c>
    </row>
    <row r="847" spans="7:11" x14ac:dyDescent="0.3">
      <c r="G847" t="s">
        <v>385</v>
      </c>
      <c r="H847" s="1">
        <v>25</v>
      </c>
      <c r="I847" s="1" t="s">
        <v>379</v>
      </c>
      <c r="J847" s="11">
        <v>45903</v>
      </c>
      <c r="K847" t="s">
        <v>97</v>
      </c>
    </row>
    <row r="848" spans="7:11" x14ac:dyDescent="0.3">
      <c r="G848" t="s">
        <v>57</v>
      </c>
      <c r="H848" s="1">
        <v>32</v>
      </c>
      <c r="I848" s="1" t="s">
        <v>379</v>
      </c>
      <c r="J848" s="11">
        <v>45903</v>
      </c>
      <c r="K848" t="s">
        <v>275</v>
      </c>
    </row>
    <row r="849" spans="7:11" x14ac:dyDescent="0.3">
      <c r="G849" t="s">
        <v>317</v>
      </c>
      <c r="H849" s="1">
        <v>515</v>
      </c>
      <c r="I849" s="1" t="s">
        <v>379</v>
      </c>
      <c r="J849" s="11">
        <v>45903</v>
      </c>
      <c r="K849" t="s">
        <v>90</v>
      </c>
    </row>
    <row r="850" spans="7:11" x14ac:dyDescent="0.3">
      <c r="G850" t="s">
        <v>57</v>
      </c>
      <c r="H850" s="1">
        <v>4000</v>
      </c>
      <c r="I850" s="1" t="s">
        <v>379</v>
      </c>
      <c r="J850" s="11">
        <v>45903</v>
      </c>
      <c r="K850" t="s">
        <v>91</v>
      </c>
    </row>
    <row r="851" spans="7:11" x14ac:dyDescent="0.3">
      <c r="G851" t="s">
        <v>332</v>
      </c>
      <c r="H851" s="1">
        <v>2000</v>
      </c>
      <c r="I851" s="1" t="s">
        <v>379</v>
      </c>
      <c r="J851" s="11">
        <v>45903</v>
      </c>
      <c r="K851" t="s">
        <v>91</v>
      </c>
    </row>
    <row r="852" spans="7:11" x14ac:dyDescent="0.3">
      <c r="G852" t="s">
        <v>353</v>
      </c>
      <c r="H852" s="1">
        <v>840</v>
      </c>
      <c r="I852" s="1" t="s">
        <v>379</v>
      </c>
      <c r="J852" s="11">
        <v>45903</v>
      </c>
      <c r="K852" t="s">
        <v>90</v>
      </c>
    </row>
    <row r="853" spans="7:11" x14ac:dyDescent="0.3">
      <c r="G853" t="s">
        <v>354</v>
      </c>
      <c r="H853" s="1">
        <v>875</v>
      </c>
      <c r="I853" s="1" t="s">
        <v>379</v>
      </c>
      <c r="J853" s="11">
        <v>45903</v>
      </c>
      <c r="K853" t="s">
        <v>270</v>
      </c>
    </row>
    <row r="854" spans="7:11" x14ac:dyDescent="0.3">
      <c r="G854" t="s">
        <v>31</v>
      </c>
      <c r="H854" s="1">
        <v>220</v>
      </c>
      <c r="I854" s="1" t="s">
        <v>379</v>
      </c>
      <c r="J854" s="11">
        <v>45903</v>
      </c>
      <c r="K854" t="s">
        <v>275</v>
      </c>
    </row>
    <row r="855" spans="7:11" x14ac:dyDescent="0.3">
      <c r="G855" t="s">
        <v>251</v>
      </c>
      <c r="H855" s="1">
        <v>60</v>
      </c>
      <c r="I855" s="1" t="s">
        <v>379</v>
      </c>
      <c r="J855" s="11">
        <v>45903</v>
      </c>
      <c r="K855" t="s">
        <v>275</v>
      </c>
    </row>
    <row r="856" spans="7:11" x14ac:dyDescent="0.3">
      <c r="G856" t="s">
        <v>243</v>
      </c>
      <c r="H856" s="1">
        <v>470</v>
      </c>
      <c r="I856" s="1" t="s">
        <v>379</v>
      </c>
      <c r="J856" s="11">
        <v>45904</v>
      </c>
      <c r="K856" t="s">
        <v>95</v>
      </c>
    </row>
    <row r="857" spans="7:11" x14ac:dyDescent="0.3">
      <c r="G857" t="s">
        <v>352</v>
      </c>
      <c r="H857" s="1">
        <v>200</v>
      </c>
      <c r="I857" s="1" t="s">
        <v>379</v>
      </c>
      <c r="J857" s="11">
        <v>45904</v>
      </c>
      <c r="K857" t="s">
        <v>97</v>
      </c>
    </row>
    <row r="858" spans="7:11" x14ac:dyDescent="0.3">
      <c r="G858" t="s">
        <v>387</v>
      </c>
      <c r="H858" s="1">
        <v>10</v>
      </c>
      <c r="I858" s="1" t="s">
        <v>379</v>
      </c>
      <c r="J858" s="11">
        <v>45904</v>
      </c>
      <c r="K858" t="s">
        <v>91</v>
      </c>
    </row>
    <row r="859" spans="7:11" x14ac:dyDescent="0.3">
      <c r="G859" t="s">
        <v>149</v>
      </c>
      <c r="H859" s="1">
        <v>325</v>
      </c>
      <c r="I859" s="1" t="s">
        <v>379</v>
      </c>
      <c r="J859" s="11">
        <v>45904</v>
      </c>
      <c r="K859" t="s">
        <v>210</v>
      </c>
    </row>
    <row r="860" spans="7:11" x14ac:dyDescent="0.3">
      <c r="G860" t="s">
        <v>389</v>
      </c>
      <c r="H860" s="1">
        <v>1418.8</v>
      </c>
      <c r="I860" s="1" t="s">
        <v>379</v>
      </c>
      <c r="J860" s="11">
        <v>45904</v>
      </c>
      <c r="K860" t="s">
        <v>270</v>
      </c>
    </row>
    <row r="861" spans="7:11" x14ac:dyDescent="0.3">
      <c r="G861" t="s">
        <v>60</v>
      </c>
      <c r="H861" s="1">
        <v>20</v>
      </c>
      <c r="I861" s="1" t="s">
        <v>379</v>
      </c>
      <c r="J861" s="11">
        <v>45904</v>
      </c>
      <c r="K861" t="s">
        <v>96</v>
      </c>
    </row>
    <row r="862" spans="7:11" x14ac:dyDescent="0.3">
      <c r="G862" t="s">
        <v>388</v>
      </c>
      <c r="H862" s="1">
        <v>690</v>
      </c>
      <c r="I862" s="1" t="s">
        <v>379</v>
      </c>
      <c r="J862" s="11">
        <v>45904</v>
      </c>
      <c r="K862" t="s">
        <v>275</v>
      </c>
    </row>
    <row r="863" spans="7:11" x14ac:dyDescent="0.3">
      <c r="G863" t="s">
        <v>49</v>
      </c>
      <c r="H863" s="1">
        <v>450</v>
      </c>
      <c r="I863" s="1" t="s">
        <v>379</v>
      </c>
      <c r="J863" s="11">
        <v>45904</v>
      </c>
      <c r="K863" t="s">
        <v>95</v>
      </c>
    </row>
    <row r="864" spans="7:11" x14ac:dyDescent="0.3">
      <c r="G864" t="s">
        <v>305</v>
      </c>
      <c r="H864" s="1">
        <v>100</v>
      </c>
      <c r="I864" s="1" t="s">
        <v>379</v>
      </c>
      <c r="J864" s="11">
        <v>45905</v>
      </c>
      <c r="K864" t="s">
        <v>95</v>
      </c>
    </row>
    <row r="865" spans="7:11" x14ac:dyDescent="0.3">
      <c r="G865" t="s">
        <v>243</v>
      </c>
      <c r="H865" s="1">
        <v>430</v>
      </c>
      <c r="I865" s="1" t="s">
        <v>379</v>
      </c>
      <c r="J865" s="11">
        <v>45905</v>
      </c>
      <c r="K865" t="s">
        <v>95</v>
      </c>
    </row>
    <row r="866" spans="7:11" x14ac:dyDescent="0.3">
      <c r="G866" t="s">
        <v>366</v>
      </c>
      <c r="H866" s="1">
        <v>300</v>
      </c>
      <c r="I866" s="1" t="s">
        <v>379</v>
      </c>
      <c r="J866" s="11">
        <v>45905</v>
      </c>
      <c r="K866" t="s">
        <v>97</v>
      </c>
    </row>
    <row r="867" spans="7:11" x14ac:dyDescent="0.3">
      <c r="G867" t="s">
        <v>169</v>
      </c>
      <c r="H867" s="1">
        <v>326.75</v>
      </c>
      <c r="I867" s="1" t="s">
        <v>379</v>
      </c>
      <c r="J867" s="11">
        <v>45905</v>
      </c>
      <c r="K867" t="s">
        <v>96</v>
      </c>
    </row>
    <row r="868" spans="7:11" x14ac:dyDescent="0.3">
      <c r="G868" t="s">
        <v>390</v>
      </c>
      <c r="H868" s="1">
        <v>215</v>
      </c>
      <c r="I868" s="1" t="s">
        <v>379</v>
      </c>
      <c r="J868" s="11">
        <v>45905</v>
      </c>
      <c r="K868" t="s">
        <v>96</v>
      </c>
    </row>
    <row r="869" spans="7:11" x14ac:dyDescent="0.3">
      <c r="G869" t="s">
        <v>370</v>
      </c>
      <c r="H869" s="1">
        <v>520</v>
      </c>
      <c r="I869" s="1" t="s">
        <v>379</v>
      </c>
      <c r="J869" s="11">
        <v>45905</v>
      </c>
      <c r="K869" t="s">
        <v>270</v>
      </c>
    </row>
    <row r="870" spans="7:11" x14ac:dyDescent="0.3">
      <c r="G870" t="s">
        <v>33</v>
      </c>
      <c r="H870" s="1">
        <v>966</v>
      </c>
      <c r="I870" s="1" t="s">
        <v>379</v>
      </c>
      <c r="J870" s="11">
        <v>45905</v>
      </c>
      <c r="K870" t="s">
        <v>97</v>
      </c>
    </row>
    <row r="871" spans="7:11" x14ac:dyDescent="0.3">
      <c r="G871" t="s">
        <v>392</v>
      </c>
      <c r="H871" s="1">
        <v>80</v>
      </c>
      <c r="I871" s="1" t="s">
        <v>379</v>
      </c>
      <c r="J871" s="11">
        <v>45906</v>
      </c>
      <c r="K871" t="s">
        <v>275</v>
      </c>
    </row>
    <row r="872" spans="7:11" x14ac:dyDescent="0.3">
      <c r="G872" t="s">
        <v>349</v>
      </c>
      <c r="H872" s="1">
        <v>1145</v>
      </c>
      <c r="I872" s="1" t="s">
        <v>379</v>
      </c>
      <c r="J872" s="11">
        <v>45906</v>
      </c>
      <c r="K872" t="s">
        <v>270</v>
      </c>
    </row>
    <row r="873" spans="7:11" x14ac:dyDescent="0.3">
      <c r="G873" t="s">
        <v>298</v>
      </c>
      <c r="H873" s="1">
        <v>150</v>
      </c>
      <c r="I873" s="1" t="s">
        <v>379</v>
      </c>
      <c r="J873" s="11">
        <v>45906</v>
      </c>
      <c r="K873" t="s">
        <v>91</v>
      </c>
    </row>
    <row r="874" spans="7:11" x14ac:dyDescent="0.3">
      <c r="G874" t="s">
        <v>149</v>
      </c>
      <c r="H874" s="1">
        <v>200</v>
      </c>
      <c r="I874" s="1" t="s">
        <v>379</v>
      </c>
      <c r="J874" s="11">
        <v>45906</v>
      </c>
      <c r="K874" t="s">
        <v>210</v>
      </c>
    </row>
    <row r="875" spans="7:11" x14ac:dyDescent="0.3">
      <c r="G875" t="s">
        <v>143</v>
      </c>
      <c r="H875" s="1">
        <v>10</v>
      </c>
      <c r="I875" s="1" t="s">
        <v>379</v>
      </c>
      <c r="J875" s="11">
        <v>45906</v>
      </c>
      <c r="K875" t="s">
        <v>143</v>
      </c>
    </row>
    <row r="876" spans="7:11" x14ac:dyDescent="0.3">
      <c r="G876" t="s">
        <v>391</v>
      </c>
      <c r="H876" s="1">
        <v>66</v>
      </c>
      <c r="I876" s="1" t="s">
        <v>379</v>
      </c>
      <c r="J876" s="11">
        <v>45906</v>
      </c>
      <c r="K876" t="s">
        <v>275</v>
      </c>
    </row>
    <row r="877" spans="7:11" x14ac:dyDescent="0.3">
      <c r="G877" t="s">
        <v>393</v>
      </c>
      <c r="H877" s="1">
        <v>720</v>
      </c>
      <c r="I877" s="1" t="s">
        <v>379</v>
      </c>
      <c r="J877" s="11">
        <v>45908</v>
      </c>
      <c r="K877" t="s">
        <v>275</v>
      </c>
    </row>
    <row r="878" spans="7:11" x14ac:dyDescent="0.3">
      <c r="G878" t="s">
        <v>256</v>
      </c>
      <c r="H878" s="1">
        <v>12.36</v>
      </c>
      <c r="I878" s="1" t="s">
        <v>379</v>
      </c>
      <c r="J878" s="11">
        <v>45908</v>
      </c>
      <c r="K878" t="s">
        <v>395</v>
      </c>
    </row>
    <row r="879" spans="7:11" x14ac:dyDescent="0.3">
      <c r="G879" t="s">
        <v>152</v>
      </c>
      <c r="H879" s="1">
        <v>5000</v>
      </c>
      <c r="I879" s="1" t="s">
        <v>379</v>
      </c>
      <c r="J879" s="11">
        <v>45908</v>
      </c>
      <c r="K879" t="s">
        <v>152</v>
      </c>
    </row>
    <row r="880" spans="7:11" x14ac:dyDescent="0.3">
      <c r="G880" t="s">
        <v>337</v>
      </c>
      <c r="H880" s="1">
        <v>150</v>
      </c>
      <c r="I880" s="1" t="s">
        <v>379</v>
      </c>
      <c r="J880" s="11">
        <v>45908</v>
      </c>
      <c r="K880" t="s">
        <v>270</v>
      </c>
    </row>
    <row r="881" spans="7:11" x14ac:dyDescent="0.3">
      <c r="G881" t="s">
        <v>396</v>
      </c>
      <c r="H881" s="1">
        <v>179</v>
      </c>
      <c r="I881" s="1" t="s">
        <v>379</v>
      </c>
      <c r="J881" s="11">
        <v>45908</v>
      </c>
      <c r="K881" t="s">
        <v>96</v>
      </c>
    </row>
    <row r="882" spans="7:11" x14ac:dyDescent="0.3">
      <c r="G882" t="s">
        <v>374</v>
      </c>
      <c r="H882" s="1">
        <v>940</v>
      </c>
      <c r="I882" s="1" t="s">
        <v>379</v>
      </c>
      <c r="J882" s="11">
        <v>45908</v>
      </c>
      <c r="K882" t="s">
        <v>270</v>
      </c>
    </row>
    <row r="883" spans="7:11" x14ac:dyDescent="0.3">
      <c r="G883" t="s">
        <v>298</v>
      </c>
      <c r="H883" s="1">
        <v>30</v>
      </c>
      <c r="I883" s="1" t="s">
        <v>379</v>
      </c>
      <c r="J883" s="11">
        <v>45908</v>
      </c>
      <c r="K883" t="s">
        <v>91</v>
      </c>
    </row>
    <row r="884" spans="7:11" x14ac:dyDescent="0.3">
      <c r="G884" t="s">
        <v>394</v>
      </c>
      <c r="H884" s="1">
        <v>486</v>
      </c>
      <c r="I884" s="1" t="s">
        <v>379</v>
      </c>
      <c r="J884" s="11">
        <v>45908</v>
      </c>
      <c r="K884" t="s">
        <v>275</v>
      </c>
    </row>
    <row r="885" spans="7:11" x14ac:dyDescent="0.3">
      <c r="G885" t="s">
        <v>394</v>
      </c>
      <c r="H885" s="1">
        <v>36</v>
      </c>
      <c r="I885" s="1" t="s">
        <v>379</v>
      </c>
      <c r="J885" s="11">
        <v>45908</v>
      </c>
      <c r="K885" t="s">
        <v>275</v>
      </c>
    </row>
    <row r="886" spans="7:11" x14ac:dyDescent="0.3">
      <c r="G886" t="s">
        <v>49</v>
      </c>
      <c r="H886" s="1">
        <v>165</v>
      </c>
      <c r="I886" s="1" t="s">
        <v>379</v>
      </c>
      <c r="J886" s="11">
        <v>45908</v>
      </c>
      <c r="K886" t="s">
        <v>95</v>
      </c>
    </row>
    <row r="887" spans="7:11" x14ac:dyDescent="0.3">
      <c r="G887" t="s">
        <v>243</v>
      </c>
      <c r="H887" s="1">
        <v>40</v>
      </c>
      <c r="I887" s="1" t="s">
        <v>379</v>
      </c>
      <c r="J887" s="11">
        <v>45909</v>
      </c>
      <c r="K887" t="s">
        <v>95</v>
      </c>
    </row>
    <row r="888" spans="7:11" x14ac:dyDescent="0.3">
      <c r="G888" t="s">
        <v>35</v>
      </c>
      <c r="H888" s="1">
        <v>85</v>
      </c>
      <c r="I888" s="1" t="s">
        <v>379</v>
      </c>
      <c r="J888" s="11">
        <v>45909</v>
      </c>
      <c r="K888" t="s">
        <v>96</v>
      </c>
    </row>
    <row r="889" spans="7:11" x14ac:dyDescent="0.3">
      <c r="G889" t="s">
        <v>370</v>
      </c>
      <c r="H889" s="1">
        <v>80</v>
      </c>
      <c r="I889" s="1" t="s">
        <v>379</v>
      </c>
      <c r="J889" s="11">
        <v>45909</v>
      </c>
      <c r="K889" t="s">
        <v>270</v>
      </c>
    </row>
    <row r="890" spans="7:11" x14ac:dyDescent="0.3">
      <c r="G890" t="s">
        <v>397</v>
      </c>
      <c r="H890" s="1">
        <v>1200</v>
      </c>
      <c r="I890" s="1" t="s">
        <v>379</v>
      </c>
      <c r="J890" s="11">
        <v>45909</v>
      </c>
      <c r="K890" t="s">
        <v>270</v>
      </c>
    </row>
    <row r="891" spans="7:11" x14ac:dyDescent="0.3">
      <c r="G891" t="s">
        <v>348</v>
      </c>
      <c r="H891" s="1">
        <v>1120</v>
      </c>
      <c r="I891" s="1" t="s">
        <v>379</v>
      </c>
      <c r="J891" s="11">
        <v>45909</v>
      </c>
      <c r="K891" t="s">
        <v>270</v>
      </c>
    </row>
    <row r="892" spans="7:11" x14ac:dyDescent="0.3">
      <c r="G892" t="s">
        <v>280</v>
      </c>
      <c r="H892" s="1">
        <v>204</v>
      </c>
      <c r="I892" s="1" t="s">
        <v>379</v>
      </c>
      <c r="J892" s="11">
        <v>45910</v>
      </c>
      <c r="K892" t="s">
        <v>275</v>
      </c>
    </row>
    <row r="893" spans="7:11" x14ac:dyDescent="0.3">
      <c r="G893" t="s">
        <v>370</v>
      </c>
      <c r="H893" s="1">
        <v>400</v>
      </c>
      <c r="I893" s="1" t="s">
        <v>379</v>
      </c>
      <c r="J893" s="11">
        <v>45910</v>
      </c>
      <c r="K893" t="s">
        <v>270</v>
      </c>
    </row>
    <row r="894" spans="7:11" x14ac:dyDescent="0.3">
      <c r="G894" t="s">
        <v>362</v>
      </c>
      <c r="H894" s="1">
        <v>200</v>
      </c>
      <c r="I894" s="1" t="s">
        <v>379</v>
      </c>
      <c r="J894" s="11">
        <v>45910</v>
      </c>
      <c r="K894" t="s">
        <v>270</v>
      </c>
    </row>
    <row r="895" spans="7:11" x14ac:dyDescent="0.3">
      <c r="G895" t="s">
        <v>398</v>
      </c>
      <c r="H895" s="1">
        <v>1020</v>
      </c>
      <c r="I895" s="1" t="s">
        <v>379</v>
      </c>
      <c r="J895" s="11">
        <v>45910</v>
      </c>
      <c r="K895" t="s">
        <v>270</v>
      </c>
    </row>
    <row r="896" spans="7:11" x14ac:dyDescent="0.3">
      <c r="G896" t="s">
        <v>399</v>
      </c>
      <c r="H896" s="1">
        <v>1160</v>
      </c>
      <c r="I896" s="1" t="s">
        <v>379</v>
      </c>
      <c r="J896" s="11">
        <v>45910</v>
      </c>
      <c r="K896" t="s">
        <v>270</v>
      </c>
    </row>
    <row r="897" spans="7:11" x14ac:dyDescent="0.3">
      <c r="G897" t="s">
        <v>149</v>
      </c>
      <c r="H897" s="1">
        <v>70</v>
      </c>
      <c r="I897" s="1" t="s">
        <v>379</v>
      </c>
      <c r="J897" s="11">
        <v>45910</v>
      </c>
      <c r="K897" t="s">
        <v>270</v>
      </c>
    </row>
    <row r="898" spans="7:11" x14ac:dyDescent="0.3">
      <c r="G898" t="s">
        <v>392</v>
      </c>
      <c r="H898" s="1">
        <v>43</v>
      </c>
      <c r="I898" s="1" t="s">
        <v>379</v>
      </c>
      <c r="J898" s="11">
        <v>45910</v>
      </c>
      <c r="K898" t="s">
        <v>91</v>
      </c>
    </row>
    <row r="899" spans="7:11" x14ac:dyDescent="0.3">
      <c r="G899" t="s">
        <v>243</v>
      </c>
      <c r="H899" s="1">
        <v>430</v>
      </c>
      <c r="I899" s="1" t="s">
        <v>379</v>
      </c>
      <c r="J899" s="11">
        <v>45910</v>
      </c>
      <c r="K899" t="s">
        <v>96</v>
      </c>
    </row>
    <row r="900" spans="7:11" x14ac:dyDescent="0.3">
      <c r="G900" t="s">
        <v>31</v>
      </c>
      <c r="H900" s="1">
        <v>433</v>
      </c>
      <c r="I900" s="1" t="s">
        <v>379</v>
      </c>
      <c r="J900" s="11">
        <v>45910</v>
      </c>
      <c r="K900" t="s">
        <v>96</v>
      </c>
    </row>
    <row r="901" spans="7:11" x14ac:dyDescent="0.3">
      <c r="G901" t="s">
        <v>143</v>
      </c>
      <c r="H901" s="1">
        <v>10</v>
      </c>
      <c r="I901" s="1" t="s">
        <v>379</v>
      </c>
      <c r="J901" s="11">
        <v>45910</v>
      </c>
      <c r="K901" t="s">
        <v>143</v>
      </c>
    </row>
    <row r="902" spans="7:11" x14ac:dyDescent="0.3">
      <c r="G902" t="s">
        <v>298</v>
      </c>
      <c r="H902" s="1">
        <v>4570</v>
      </c>
      <c r="I902" s="1" t="s">
        <v>379</v>
      </c>
      <c r="J902" s="11">
        <v>45910</v>
      </c>
      <c r="K902" t="s">
        <v>351</v>
      </c>
    </row>
    <row r="903" spans="7:11" x14ac:dyDescent="0.3">
      <c r="G903" t="s">
        <v>246</v>
      </c>
      <c r="H903" s="1">
        <v>40</v>
      </c>
      <c r="I903" s="1" t="s">
        <v>379</v>
      </c>
      <c r="J903" s="11">
        <v>45910</v>
      </c>
      <c r="K903" t="s">
        <v>96</v>
      </c>
    </row>
    <row r="904" spans="7:11" x14ac:dyDescent="0.3">
      <c r="G904" t="s">
        <v>400</v>
      </c>
      <c r="H904" s="1">
        <v>725</v>
      </c>
      <c r="I904" s="1" t="s">
        <v>379</v>
      </c>
      <c r="J904" s="11">
        <v>45910</v>
      </c>
      <c r="K904" t="s">
        <v>270</v>
      </c>
    </row>
    <row r="905" spans="7:11" x14ac:dyDescent="0.3">
      <c r="G905" t="s">
        <v>186</v>
      </c>
      <c r="H905" s="1">
        <v>10</v>
      </c>
      <c r="I905" s="1" t="s">
        <v>379</v>
      </c>
      <c r="J905" s="11">
        <v>45910</v>
      </c>
      <c r="K905" t="s">
        <v>91</v>
      </c>
    </row>
    <row r="906" spans="7:11" x14ac:dyDescent="0.3">
      <c r="G906" t="s">
        <v>143</v>
      </c>
      <c r="H906" s="1">
        <v>10</v>
      </c>
      <c r="I906" s="1" t="s">
        <v>379</v>
      </c>
      <c r="J906" s="11">
        <v>45910</v>
      </c>
      <c r="K906" t="s">
        <v>143</v>
      </c>
    </row>
    <row r="907" spans="7:11" x14ac:dyDescent="0.3">
      <c r="G907" t="s">
        <v>353</v>
      </c>
      <c r="H907" s="1">
        <v>1140</v>
      </c>
      <c r="I907" s="1" t="s">
        <v>379</v>
      </c>
      <c r="J907" s="11">
        <v>45910</v>
      </c>
      <c r="K907" t="s">
        <v>270</v>
      </c>
    </row>
    <row r="908" spans="7:11" x14ac:dyDescent="0.3">
      <c r="G908" t="s">
        <v>298</v>
      </c>
      <c r="H908" s="1">
        <v>450</v>
      </c>
      <c r="I908" s="1" t="s">
        <v>379</v>
      </c>
      <c r="J908" s="11">
        <v>45910</v>
      </c>
      <c r="K908" t="s">
        <v>91</v>
      </c>
    </row>
    <row r="909" spans="7:11" x14ac:dyDescent="0.3">
      <c r="G909" t="s">
        <v>33</v>
      </c>
      <c r="H909" s="1">
        <v>590</v>
      </c>
      <c r="I909" s="1" t="s">
        <v>379</v>
      </c>
      <c r="J909" s="11">
        <v>45910</v>
      </c>
      <c r="K909" t="s">
        <v>97</v>
      </c>
    </row>
    <row r="910" spans="7:11" x14ac:dyDescent="0.3">
      <c r="G910" t="s">
        <v>243</v>
      </c>
      <c r="H910" s="1">
        <v>430</v>
      </c>
      <c r="I910" s="1" t="s">
        <v>379</v>
      </c>
      <c r="J910" s="11">
        <v>45911</v>
      </c>
      <c r="K910" t="s">
        <v>95</v>
      </c>
    </row>
    <row r="911" spans="7:11" x14ac:dyDescent="0.3">
      <c r="G911" t="s">
        <v>235</v>
      </c>
      <c r="H911" s="1">
        <v>1150</v>
      </c>
      <c r="I911" s="1" t="s">
        <v>379</v>
      </c>
      <c r="J911" s="11">
        <v>45911</v>
      </c>
      <c r="K911" t="s">
        <v>90</v>
      </c>
    </row>
    <row r="912" spans="7:11" x14ac:dyDescent="0.3">
      <c r="G912" t="s">
        <v>260</v>
      </c>
      <c r="H912" s="1">
        <v>1400</v>
      </c>
      <c r="I912" s="1" t="s">
        <v>379</v>
      </c>
      <c r="J912" s="11">
        <v>45911</v>
      </c>
      <c r="K912" t="s">
        <v>2</v>
      </c>
    </row>
    <row r="913" spans="7:11" x14ac:dyDescent="0.3">
      <c r="G913" t="s">
        <v>31</v>
      </c>
      <c r="H913" s="1">
        <v>275</v>
      </c>
      <c r="I913" s="1" t="s">
        <v>379</v>
      </c>
      <c r="J913" s="11">
        <v>45911</v>
      </c>
      <c r="K913" t="s">
        <v>96</v>
      </c>
    </row>
    <row r="914" spans="7:11" x14ac:dyDescent="0.3">
      <c r="G914" t="s">
        <v>401</v>
      </c>
      <c r="H914" s="1">
        <v>80</v>
      </c>
      <c r="I914" s="1" t="s">
        <v>379</v>
      </c>
      <c r="J914" s="11">
        <v>45911</v>
      </c>
      <c r="K914" t="s">
        <v>90</v>
      </c>
    </row>
    <row r="915" spans="7:11" x14ac:dyDescent="0.3">
      <c r="G915" t="s">
        <v>143</v>
      </c>
      <c r="H915" s="1">
        <v>25</v>
      </c>
      <c r="I915" s="1" t="s">
        <v>379</v>
      </c>
      <c r="J915" s="11">
        <v>45911</v>
      </c>
      <c r="K915" t="s">
        <v>143</v>
      </c>
    </row>
    <row r="916" spans="7:11" x14ac:dyDescent="0.3">
      <c r="G916" t="s">
        <v>402</v>
      </c>
      <c r="H916" s="1">
        <v>419</v>
      </c>
      <c r="I916" s="1" t="s">
        <v>379</v>
      </c>
      <c r="J916" s="11">
        <v>45911</v>
      </c>
      <c r="K916" t="s">
        <v>96</v>
      </c>
    </row>
    <row r="917" spans="7:11" x14ac:dyDescent="0.3">
      <c r="G917" t="s">
        <v>162</v>
      </c>
      <c r="H917" s="1">
        <v>120</v>
      </c>
      <c r="I917" s="1" t="s">
        <v>379</v>
      </c>
      <c r="J917" s="11">
        <v>45911</v>
      </c>
      <c r="K917" t="s">
        <v>162</v>
      </c>
    </row>
    <row r="918" spans="7:11" x14ac:dyDescent="0.3">
      <c r="G918" t="s">
        <v>51</v>
      </c>
      <c r="H918" s="1">
        <v>150</v>
      </c>
      <c r="I918" s="1" t="s">
        <v>379</v>
      </c>
      <c r="J918" s="11">
        <v>45911</v>
      </c>
      <c r="K918" t="s">
        <v>96</v>
      </c>
    </row>
    <row r="919" spans="7:11" x14ac:dyDescent="0.3">
      <c r="G919" t="s">
        <v>344</v>
      </c>
      <c r="H919" s="1">
        <v>40</v>
      </c>
      <c r="I919" s="1" t="s">
        <v>379</v>
      </c>
      <c r="J919" s="11">
        <v>45912</v>
      </c>
      <c r="K919" t="s">
        <v>90</v>
      </c>
    </row>
    <row r="920" spans="7:11" x14ac:dyDescent="0.3">
      <c r="G920" t="s">
        <v>404</v>
      </c>
      <c r="H920" s="1">
        <v>580</v>
      </c>
      <c r="I920" s="1" t="s">
        <v>379</v>
      </c>
      <c r="J920" s="11">
        <v>45912</v>
      </c>
      <c r="K920" t="s">
        <v>405</v>
      </c>
    </row>
    <row r="921" spans="7:11" x14ac:dyDescent="0.3">
      <c r="G921" t="s">
        <v>252</v>
      </c>
      <c r="H921" s="1">
        <v>100</v>
      </c>
      <c r="I921" s="1" t="s">
        <v>379</v>
      </c>
      <c r="J921" s="11">
        <v>45912</v>
      </c>
      <c r="K921" t="s">
        <v>96</v>
      </c>
    </row>
    <row r="922" spans="7:11" x14ac:dyDescent="0.3">
      <c r="G922" t="s">
        <v>149</v>
      </c>
      <c r="H922" s="1">
        <v>40</v>
      </c>
      <c r="I922" s="1" t="s">
        <v>379</v>
      </c>
      <c r="J922" s="11">
        <v>45912</v>
      </c>
      <c r="K922" t="s">
        <v>210</v>
      </c>
    </row>
    <row r="923" spans="7:11" x14ac:dyDescent="0.3">
      <c r="G923" t="s">
        <v>60</v>
      </c>
      <c r="H923" s="1">
        <v>20</v>
      </c>
      <c r="I923" s="1" t="s">
        <v>379</v>
      </c>
      <c r="J923" s="11">
        <v>45912</v>
      </c>
      <c r="K923" t="s">
        <v>96</v>
      </c>
    </row>
    <row r="924" spans="7:11" x14ac:dyDescent="0.3">
      <c r="G924" t="s">
        <v>403</v>
      </c>
      <c r="H924" s="1">
        <v>800</v>
      </c>
      <c r="I924" s="1" t="s">
        <v>379</v>
      </c>
      <c r="J924" s="11">
        <v>45912</v>
      </c>
      <c r="K924" t="s">
        <v>275</v>
      </c>
    </row>
    <row r="925" spans="7:11" x14ac:dyDescent="0.3">
      <c r="G925" t="s">
        <v>33</v>
      </c>
      <c r="H925" s="1">
        <v>826</v>
      </c>
      <c r="I925" s="1" t="s">
        <v>379</v>
      </c>
      <c r="J925" s="11">
        <v>45912</v>
      </c>
      <c r="K925" t="s">
        <v>97</v>
      </c>
    </row>
    <row r="926" spans="7:11" x14ac:dyDescent="0.3">
      <c r="G926" t="s">
        <v>348</v>
      </c>
      <c r="H926" s="1">
        <v>510</v>
      </c>
      <c r="I926" s="1" t="s">
        <v>379</v>
      </c>
      <c r="J926" s="11">
        <v>45913</v>
      </c>
      <c r="K926" t="s">
        <v>90</v>
      </c>
    </row>
    <row r="927" spans="7:11" x14ac:dyDescent="0.3">
      <c r="G927" t="s">
        <v>322</v>
      </c>
      <c r="H927" s="1">
        <v>170</v>
      </c>
      <c r="I927" s="1" t="s">
        <v>379</v>
      </c>
      <c r="J927" s="11">
        <v>45913</v>
      </c>
      <c r="K927" t="s">
        <v>205</v>
      </c>
    </row>
    <row r="928" spans="7:11" x14ac:dyDescent="0.3">
      <c r="G928" t="s">
        <v>149</v>
      </c>
      <c r="H928" s="1">
        <v>150</v>
      </c>
      <c r="I928" s="1" t="s">
        <v>379</v>
      </c>
      <c r="J928" s="11">
        <v>45913</v>
      </c>
      <c r="K928" t="s">
        <v>210</v>
      </c>
    </row>
    <row r="929" spans="7:11" x14ac:dyDescent="0.3">
      <c r="G929" t="s">
        <v>143</v>
      </c>
      <c r="H929" s="1">
        <v>25</v>
      </c>
      <c r="I929" s="1" t="s">
        <v>379</v>
      </c>
      <c r="J929" s="11">
        <v>45913</v>
      </c>
      <c r="K929" t="s">
        <v>143</v>
      </c>
    </row>
    <row r="930" spans="7:11" x14ac:dyDescent="0.3">
      <c r="G930" t="s">
        <v>355</v>
      </c>
      <c r="H930" s="1">
        <v>1500</v>
      </c>
      <c r="I930" s="1" t="s">
        <v>379</v>
      </c>
      <c r="J930" s="11">
        <v>45913</v>
      </c>
      <c r="K930" t="s">
        <v>355</v>
      </c>
    </row>
    <row r="931" spans="7:11" x14ac:dyDescent="0.3">
      <c r="G931" t="s">
        <v>349</v>
      </c>
      <c r="H931" s="1">
        <v>1605</v>
      </c>
      <c r="I931" s="1" t="s">
        <v>379</v>
      </c>
      <c r="J931" s="11">
        <v>45913</v>
      </c>
      <c r="K931" t="s">
        <v>90</v>
      </c>
    </row>
    <row r="932" spans="7:11" x14ac:dyDescent="0.3">
      <c r="G932" t="s">
        <v>169</v>
      </c>
      <c r="H932" s="1">
        <v>600</v>
      </c>
      <c r="I932" s="1" t="s">
        <v>379</v>
      </c>
      <c r="J932" s="11">
        <v>45913</v>
      </c>
      <c r="K932" t="s">
        <v>96</v>
      </c>
    </row>
    <row r="933" spans="7:11" x14ac:dyDescent="0.3">
      <c r="G933" t="s">
        <v>143</v>
      </c>
      <c r="H933" s="1">
        <v>20</v>
      </c>
      <c r="I933" s="1" t="s">
        <v>379</v>
      </c>
      <c r="J933" s="11">
        <v>45914</v>
      </c>
      <c r="K933" t="s">
        <v>143</v>
      </c>
    </row>
    <row r="934" spans="7:11" x14ac:dyDescent="0.3">
      <c r="G934" t="s">
        <v>362</v>
      </c>
      <c r="H934" s="1">
        <v>150</v>
      </c>
      <c r="I934" s="1" t="s">
        <v>379</v>
      </c>
      <c r="J934" s="11">
        <v>45914</v>
      </c>
      <c r="K934" t="s">
        <v>90</v>
      </c>
    </row>
    <row r="935" spans="7:11" x14ac:dyDescent="0.3">
      <c r="G935" t="s">
        <v>219</v>
      </c>
      <c r="H935" s="1">
        <v>1176.3800000000001</v>
      </c>
      <c r="I935" s="1" t="s">
        <v>379</v>
      </c>
      <c r="J935" s="11">
        <v>45914</v>
      </c>
      <c r="K935" t="s">
        <v>219</v>
      </c>
    </row>
    <row r="936" spans="7:11" x14ac:dyDescent="0.3">
      <c r="G936" t="s">
        <v>229</v>
      </c>
      <c r="H936" s="1">
        <v>280</v>
      </c>
      <c r="I936" s="1" t="s">
        <v>379</v>
      </c>
      <c r="J936" s="11">
        <v>45915</v>
      </c>
      <c r="K936" t="s">
        <v>95</v>
      </c>
    </row>
    <row r="937" spans="7:11" x14ac:dyDescent="0.3">
      <c r="G937" t="s">
        <v>149</v>
      </c>
      <c r="H937" s="1">
        <v>120</v>
      </c>
      <c r="I937" s="1" t="s">
        <v>379</v>
      </c>
      <c r="J937" s="11">
        <v>45915</v>
      </c>
      <c r="K937" t="s">
        <v>210</v>
      </c>
    </row>
    <row r="938" spans="7:11" x14ac:dyDescent="0.3">
      <c r="G938" t="s">
        <v>149</v>
      </c>
      <c r="H938" s="1">
        <v>284</v>
      </c>
      <c r="I938" s="1" t="s">
        <v>379</v>
      </c>
      <c r="J938" s="11">
        <v>45915</v>
      </c>
      <c r="K938" t="s">
        <v>210</v>
      </c>
    </row>
    <row r="939" spans="7:11" x14ac:dyDescent="0.3">
      <c r="G939" t="s">
        <v>406</v>
      </c>
      <c r="H939" s="1">
        <v>14934.46</v>
      </c>
      <c r="I939" s="1" t="s">
        <v>379</v>
      </c>
      <c r="J939" s="11">
        <v>45915</v>
      </c>
      <c r="K939" t="s">
        <v>94</v>
      </c>
    </row>
    <row r="940" spans="7:11" x14ac:dyDescent="0.3">
      <c r="G940" t="s">
        <v>149</v>
      </c>
      <c r="H940" s="1">
        <v>70</v>
      </c>
      <c r="I940" s="1" t="s">
        <v>379</v>
      </c>
      <c r="J940" s="11">
        <v>45915</v>
      </c>
      <c r="K940" t="s">
        <v>210</v>
      </c>
    </row>
    <row r="941" spans="7:11" x14ac:dyDescent="0.3">
      <c r="G941" t="s">
        <v>341</v>
      </c>
      <c r="H941" s="1">
        <v>820</v>
      </c>
      <c r="I941" s="1" t="s">
        <v>379</v>
      </c>
      <c r="J941" s="11">
        <v>45915</v>
      </c>
      <c r="K941" t="s">
        <v>90</v>
      </c>
    </row>
    <row r="942" spans="7:11" x14ac:dyDescent="0.3">
      <c r="G942" t="s">
        <v>370</v>
      </c>
      <c r="H942" s="1">
        <v>40</v>
      </c>
      <c r="I942" s="1" t="s">
        <v>379</v>
      </c>
      <c r="J942" s="11">
        <v>45915</v>
      </c>
      <c r="K942" t="s">
        <v>90</v>
      </c>
    </row>
    <row r="943" spans="7:11" x14ac:dyDescent="0.3">
      <c r="G943" t="s">
        <v>337</v>
      </c>
      <c r="H943" s="1">
        <v>100</v>
      </c>
      <c r="I943" s="1" t="s">
        <v>379</v>
      </c>
      <c r="J943" s="11">
        <v>45915</v>
      </c>
      <c r="K943" t="s">
        <v>90</v>
      </c>
    </row>
    <row r="944" spans="7:11" x14ac:dyDescent="0.3">
      <c r="G944" t="s">
        <v>361</v>
      </c>
      <c r="H944" s="1">
        <v>550</v>
      </c>
      <c r="I944" s="1" t="s">
        <v>379</v>
      </c>
      <c r="J944" s="11">
        <v>45915</v>
      </c>
      <c r="K944" t="s">
        <v>90</v>
      </c>
    </row>
    <row r="945" spans="7:11" x14ac:dyDescent="0.3">
      <c r="G945" t="s">
        <v>33</v>
      </c>
      <c r="H945" s="1">
        <v>1512</v>
      </c>
      <c r="I945" s="1" t="s">
        <v>379</v>
      </c>
      <c r="J945" s="11">
        <v>45915</v>
      </c>
      <c r="K945" t="s">
        <v>97</v>
      </c>
    </row>
    <row r="946" spans="7:11" x14ac:dyDescent="0.3">
      <c r="G946" t="s">
        <v>229</v>
      </c>
      <c r="H946" s="1">
        <v>280</v>
      </c>
      <c r="I946" s="1" t="s">
        <v>379</v>
      </c>
      <c r="J946" s="11">
        <v>45916</v>
      </c>
      <c r="K946" t="s">
        <v>95</v>
      </c>
    </row>
    <row r="947" spans="7:11" x14ac:dyDescent="0.3">
      <c r="G947" t="s">
        <v>407</v>
      </c>
      <c r="H947" s="1">
        <v>100</v>
      </c>
      <c r="I947" s="1" t="s">
        <v>379</v>
      </c>
      <c r="J947" s="11">
        <v>45916</v>
      </c>
      <c r="K947" t="s">
        <v>97</v>
      </c>
    </row>
    <row r="948" spans="7:11" x14ac:dyDescent="0.3">
      <c r="G948" t="s">
        <v>410</v>
      </c>
      <c r="H948" s="1">
        <v>200</v>
      </c>
      <c r="I948" s="1" t="s">
        <v>379</v>
      </c>
      <c r="J948" s="11">
        <v>45916</v>
      </c>
      <c r="K948" t="s">
        <v>275</v>
      </c>
    </row>
    <row r="949" spans="7:11" x14ac:dyDescent="0.3">
      <c r="G949" t="s">
        <v>370</v>
      </c>
      <c r="H949" s="1">
        <v>40</v>
      </c>
      <c r="I949" s="1" t="s">
        <v>379</v>
      </c>
      <c r="J949" s="11">
        <v>45916</v>
      </c>
      <c r="K949" t="s">
        <v>90</v>
      </c>
    </row>
    <row r="950" spans="7:11" x14ac:dyDescent="0.3">
      <c r="G950" t="s">
        <v>408</v>
      </c>
      <c r="H950" s="1">
        <v>151</v>
      </c>
      <c r="I950" s="1" t="s">
        <v>379</v>
      </c>
      <c r="J950" s="11">
        <v>45916</v>
      </c>
      <c r="K950" t="s">
        <v>96</v>
      </c>
    </row>
    <row r="951" spans="7:11" x14ac:dyDescent="0.3">
      <c r="G951" t="s">
        <v>409</v>
      </c>
      <c r="H951" s="1">
        <v>13</v>
      </c>
      <c r="I951" s="1" t="s">
        <v>379</v>
      </c>
      <c r="J951" s="11">
        <v>45916</v>
      </c>
      <c r="K951" t="s">
        <v>96</v>
      </c>
    </row>
    <row r="952" spans="7:11" x14ac:dyDescent="0.3">
      <c r="G952" t="s">
        <v>143</v>
      </c>
      <c r="H952" s="1">
        <v>10</v>
      </c>
      <c r="I952" s="1" t="s">
        <v>379</v>
      </c>
      <c r="J952" s="11">
        <v>45916</v>
      </c>
      <c r="K952" t="s">
        <v>143</v>
      </c>
    </row>
    <row r="953" spans="7:11" x14ac:dyDescent="0.3">
      <c r="G953" t="s">
        <v>149</v>
      </c>
      <c r="H953" s="1">
        <v>100</v>
      </c>
      <c r="I953" s="1" t="s">
        <v>379</v>
      </c>
      <c r="J953" s="11">
        <v>45916</v>
      </c>
      <c r="K953" t="s">
        <v>210</v>
      </c>
    </row>
    <row r="954" spans="7:11" x14ac:dyDescent="0.3">
      <c r="G954" t="s">
        <v>349</v>
      </c>
      <c r="H954" s="1">
        <v>930</v>
      </c>
      <c r="I954" s="1" t="s">
        <v>379</v>
      </c>
      <c r="J954" s="11">
        <v>45916</v>
      </c>
      <c r="K954" t="s">
        <v>90</v>
      </c>
    </row>
    <row r="955" spans="7:11" x14ac:dyDescent="0.3">
      <c r="G955" t="s">
        <v>251</v>
      </c>
      <c r="H955" s="1">
        <v>30</v>
      </c>
      <c r="I955" s="1" t="s">
        <v>379</v>
      </c>
      <c r="J955" s="11">
        <v>45916</v>
      </c>
      <c r="K955" t="s">
        <v>275</v>
      </c>
    </row>
    <row r="956" spans="7:11" x14ac:dyDescent="0.3">
      <c r="G956" t="s">
        <v>415</v>
      </c>
      <c r="H956" s="1">
        <v>149.5</v>
      </c>
      <c r="I956" s="1" t="s">
        <v>379</v>
      </c>
      <c r="J956" s="11">
        <v>45917</v>
      </c>
      <c r="K956" t="s">
        <v>275</v>
      </c>
    </row>
    <row r="957" spans="7:11" x14ac:dyDescent="0.3">
      <c r="G957" t="s">
        <v>149</v>
      </c>
      <c r="H957" s="1">
        <v>189.5</v>
      </c>
      <c r="I957" s="1" t="s">
        <v>379</v>
      </c>
      <c r="J957" s="11">
        <v>45917</v>
      </c>
      <c r="K957" t="s">
        <v>210</v>
      </c>
    </row>
    <row r="958" spans="7:11" x14ac:dyDescent="0.3">
      <c r="G958" t="s">
        <v>149</v>
      </c>
      <c r="H958" s="1">
        <v>100</v>
      </c>
      <c r="I958" s="1" t="s">
        <v>379</v>
      </c>
      <c r="J958" s="11">
        <v>45917</v>
      </c>
      <c r="K958" t="s">
        <v>210</v>
      </c>
    </row>
    <row r="959" spans="7:11" x14ac:dyDescent="0.3">
      <c r="G959" t="s">
        <v>386</v>
      </c>
      <c r="H959" s="1">
        <v>900</v>
      </c>
      <c r="I959" s="1" t="s">
        <v>379</v>
      </c>
      <c r="J959" s="11">
        <v>45917</v>
      </c>
      <c r="K959" t="s">
        <v>270</v>
      </c>
    </row>
    <row r="960" spans="7:11" x14ac:dyDescent="0.3">
      <c r="G960" t="s">
        <v>400</v>
      </c>
      <c r="H960" s="1">
        <v>960</v>
      </c>
      <c r="I960" s="1" t="s">
        <v>379</v>
      </c>
      <c r="J960" s="11">
        <v>45917</v>
      </c>
      <c r="K960" t="s">
        <v>270</v>
      </c>
    </row>
    <row r="961" spans="7:11" x14ac:dyDescent="0.3">
      <c r="G961" t="s">
        <v>354</v>
      </c>
      <c r="H961" s="1">
        <v>1050</v>
      </c>
      <c r="I961" s="1" t="s">
        <v>379</v>
      </c>
      <c r="J961" s="11">
        <v>45917</v>
      </c>
      <c r="K961" t="s">
        <v>270</v>
      </c>
    </row>
    <row r="962" spans="7:11" x14ac:dyDescent="0.3">
      <c r="G962" t="s">
        <v>353</v>
      </c>
      <c r="H962" s="1">
        <v>1260</v>
      </c>
      <c r="I962" s="1" t="s">
        <v>379</v>
      </c>
      <c r="J962" s="11">
        <v>45917</v>
      </c>
      <c r="K962" t="s">
        <v>270</v>
      </c>
    </row>
    <row r="963" spans="7:11" x14ac:dyDescent="0.3">
      <c r="G963" t="s">
        <v>32</v>
      </c>
      <c r="H963" s="1">
        <v>40</v>
      </c>
      <c r="I963" s="1" t="s">
        <v>379</v>
      </c>
      <c r="J963" s="11">
        <v>45918</v>
      </c>
      <c r="K963" t="s">
        <v>97</v>
      </c>
    </row>
    <row r="964" spans="7:11" x14ac:dyDescent="0.3">
      <c r="G964" t="s">
        <v>392</v>
      </c>
      <c r="H964" s="1">
        <v>100</v>
      </c>
      <c r="I964" s="1" t="s">
        <v>379</v>
      </c>
      <c r="J964" s="11">
        <v>45918</v>
      </c>
      <c r="K964" t="s">
        <v>275</v>
      </c>
    </row>
    <row r="965" spans="7:11" x14ac:dyDescent="0.3">
      <c r="G965" t="s">
        <v>230</v>
      </c>
      <c r="H965" s="1">
        <v>200</v>
      </c>
      <c r="I965" s="1" t="s">
        <v>379</v>
      </c>
      <c r="J965" s="11">
        <v>45918</v>
      </c>
      <c r="K965" t="s">
        <v>411</v>
      </c>
    </row>
    <row r="966" spans="7:11" x14ac:dyDescent="0.3">
      <c r="G966" t="s">
        <v>412</v>
      </c>
      <c r="H966" s="1">
        <v>580</v>
      </c>
      <c r="I966" s="1" t="s">
        <v>379</v>
      </c>
      <c r="J966" s="11">
        <v>45918</v>
      </c>
      <c r="K966" t="s">
        <v>270</v>
      </c>
    </row>
    <row r="967" spans="7:11" x14ac:dyDescent="0.3">
      <c r="G967" t="s">
        <v>357</v>
      </c>
      <c r="H967" s="1">
        <v>800</v>
      </c>
      <c r="I967" s="1" t="s">
        <v>379</v>
      </c>
      <c r="J967" s="11">
        <v>45918</v>
      </c>
      <c r="K967" t="s">
        <v>270</v>
      </c>
    </row>
    <row r="968" spans="7:11" x14ac:dyDescent="0.3">
      <c r="G968" t="s">
        <v>143</v>
      </c>
      <c r="H968" s="1">
        <v>20</v>
      </c>
      <c r="I968" s="1" t="s">
        <v>379</v>
      </c>
      <c r="J968" s="11">
        <v>45918</v>
      </c>
      <c r="K968" t="s">
        <v>143</v>
      </c>
    </row>
    <row r="969" spans="7:11" x14ac:dyDescent="0.3">
      <c r="G969" t="s">
        <v>413</v>
      </c>
      <c r="H969" s="1">
        <v>772</v>
      </c>
      <c r="I969" s="1" t="s">
        <v>379</v>
      </c>
      <c r="J969" s="11">
        <v>45918</v>
      </c>
      <c r="K969" t="s">
        <v>270</v>
      </c>
    </row>
    <row r="970" spans="7:11" x14ac:dyDescent="0.3">
      <c r="G970" t="s">
        <v>414</v>
      </c>
      <c r="H970" s="1">
        <v>990</v>
      </c>
      <c r="I970" s="1" t="s">
        <v>379</v>
      </c>
      <c r="J970" s="11">
        <v>45918</v>
      </c>
      <c r="K970" t="s">
        <v>270</v>
      </c>
    </row>
    <row r="971" spans="7:11" x14ac:dyDescent="0.3">
      <c r="G971" t="s">
        <v>243</v>
      </c>
      <c r="H971" s="1">
        <v>40</v>
      </c>
      <c r="I971" s="1" t="s">
        <v>379</v>
      </c>
      <c r="J971" s="11">
        <v>45919</v>
      </c>
      <c r="K971" t="s">
        <v>95</v>
      </c>
    </row>
    <row r="972" spans="7:11" x14ac:dyDescent="0.3">
      <c r="G972" t="s">
        <v>362</v>
      </c>
      <c r="H972" s="1">
        <v>500</v>
      </c>
      <c r="I972" s="1" t="s">
        <v>379</v>
      </c>
      <c r="J972" s="11">
        <v>45919</v>
      </c>
      <c r="K972" t="s">
        <v>270</v>
      </c>
    </row>
    <row r="973" spans="7:11" x14ac:dyDescent="0.3">
      <c r="G973" t="s">
        <v>370</v>
      </c>
      <c r="H973" s="1">
        <v>160</v>
      </c>
      <c r="I973" s="1" t="s">
        <v>379</v>
      </c>
      <c r="J973" s="11">
        <v>45919</v>
      </c>
      <c r="K973" t="s">
        <v>270</v>
      </c>
    </row>
    <row r="974" spans="7:11" x14ac:dyDescent="0.3">
      <c r="G974" t="s">
        <v>391</v>
      </c>
      <c r="H974" s="1">
        <v>50</v>
      </c>
      <c r="I974" s="1" t="s">
        <v>379</v>
      </c>
      <c r="J974" s="11">
        <v>45919</v>
      </c>
      <c r="K974" t="s">
        <v>96</v>
      </c>
    </row>
    <row r="975" spans="7:11" x14ac:dyDescent="0.3">
      <c r="G975" t="s">
        <v>60</v>
      </c>
      <c r="H975" s="1">
        <v>25</v>
      </c>
      <c r="I975" s="1" t="s">
        <v>379</v>
      </c>
      <c r="J975" s="11">
        <v>45919</v>
      </c>
      <c r="K975" t="s">
        <v>96</v>
      </c>
    </row>
    <row r="976" spans="7:11" x14ac:dyDescent="0.3">
      <c r="G976" t="s">
        <v>346</v>
      </c>
      <c r="H976" s="1">
        <v>170</v>
      </c>
      <c r="I976" s="1" t="s">
        <v>379</v>
      </c>
      <c r="J976" s="11">
        <v>45919</v>
      </c>
      <c r="K976" t="s">
        <v>275</v>
      </c>
    </row>
    <row r="977" spans="7:11" x14ac:dyDescent="0.3">
      <c r="G977" t="s">
        <v>33</v>
      </c>
      <c r="H977" s="1">
        <v>826</v>
      </c>
      <c r="I977" s="1" t="s">
        <v>379</v>
      </c>
      <c r="J977" s="11">
        <v>45919</v>
      </c>
      <c r="K977" t="s">
        <v>97</v>
      </c>
    </row>
    <row r="978" spans="7:11" x14ac:dyDescent="0.3">
      <c r="G978" t="s">
        <v>1</v>
      </c>
      <c r="H978" s="1">
        <v>1750</v>
      </c>
      <c r="I978" s="1" t="s">
        <v>379</v>
      </c>
      <c r="J978" s="11">
        <v>45920</v>
      </c>
      <c r="K978" t="s">
        <v>275</v>
      </c>
    </row>
    <row r="979" spans="7:11" x14ac:dyDescent="0.3">
      <c r="G979" t="s">
        <v>337</v>
      </c>
      <c r="H979" s="1">
        <v>200</v>
      </c>
      <c r="I979" s="1" t="s">
        <v>379</v>
      </c>
      <c r="J979" s="11">
        <v>45920</v>
      </c>
      <c r="K979" t="s">
        <v>270</v>
      </c>
    </row>
    <row r="980" spans="7:11" x14ac:dyDescent="0.3">
      <c r="G980" t="s">
        <v>349</v>
      </c>
      <c r="H980" s="1">
        <v>1430</v>
      </c>
      <c r="I980" s="1" t="s">
        <v>379</v>
      </c>
      <c r="J980" s="11">
        <v>45920</v>
      </c>
      <c r="K980" t="s">
        <v>270</v>
      </c>
    </row>
    <row r="981" spans="7:11" x14ac:dyDescent="0.3">
      <c r="G981" t="s">
        <v>70</v>
      </c>
      <c r="H981" s="1">
        <v>500</v>
      </c>
      <c r="I981" s="1" t="s">
        <v>379</v>
      </c>
      <c r="J981" s="11">
        <v>45920</v>
      </c>
      <c r="K981" t="s">
        <v>96</v>
      </c>
    </row>
    <row r="982" spans="7:11" x14ac:dyDescent="0.3">
      <c r="G982" t="s">
        <v>232</v>
      </c>
      <c r="H982" s="1">
        <v>644</v>
      </c>
      <c r="I982" s="1" t="s">
        <v>379</v>
      </c>
      <c r="J982" s="11">
        <v>45920</v>
      </c>
      <c r="K982" t="s">
        <v>411</v>
      </c>
    </row>
    <row r="983" spans="7:11" x14ac:dyDescent="0.3">
      <c r="G983" t="s">
        <v>205</v>
      </c>
      <c r="H983" s="1">
        <v>180</v>
      </c>
      <c r="I983" s="1" t="s">
        <v>379</v>
      </c>
      <c r="J983" s="11">
        <v>45921</v>
      </c>
      <c r="K983" t="s">
        <v>205</v>
      </c>
    </row>
    <row r="984" spans="7:11" x14ac:dyDescent="0.3">
      <c r="G984" t="s">
        <v>149</v>
      </c>
      <c r="H984" s="1">
        <v>12</v>
      </c>
      <c r="I984" s="1" t="s">
        <v>379</v>
      </c>
      <c r="J984" s="11">
        <v>45922</v>
      </c>
      <c r="K984" t="s">
        <v>95</v>
      </c>
    </row>
    <row r="985" spans="7:11" x14ac:dyDescent="0.3">
      <c r="G985" t="s">
        <v>416</v>
      </c>
      <c r="H985" s="1">
        <v>386.2</v>
      </c>
      <c r="I985" s="1" t="s">
        <v>379</v>
      </c>
      <c r="J985" s="11">
        <v>45922</v>
      </c>
      <c r="K985" t="s">
        <v>95</v>
      </c>
    </row>
    <row r="986" spans="7:11" x14ac:dyDescent="0.3">
      <c r="G986" t="s">
        <v>243</v>
      </c>
      <c r="H986" s="1">
        <v>430</v>
      </c>
      <c r="I986" s="1" t="s">
        <v>379</v>
      </c>
      <c r="J986" s="11">
        <v>45922</v>
      </c>
      <c r="K986" t="s">
        <v>95</v>
      </c>
    </row>
    <row r="987" spans="7:11" x14ac:dyDescent="0.3">
      <c r="G987" t="s">
        <v>13</v>
      </c>
      <c r="H987" s="1">
        <v>303.5</v>
      </c>
      <c r="I987" s="1" t="s">
        <v>379</v>
      </c>
      <c r="J987" s="11">
        <v>45922</v>
      </c>
      <c r="K987" t="s">
        <v>97</v>
      </c>
    </row>
    <row r="988" spans="7:11" x14ac:dyDescent="0.3">
      <c r="G988" t="s">
        <v>243</v>
      </c>
      <c r="H988" s="1">
        <v>130</v>
      </c>
      <c r="I988" s="1" t="s">
        <v>379</v>
      </c>
      <c r="J988" s="11">
        <v>45923</v>
      </c>
      <c r="K988" t="s">
        <v>95</v>
      </c>
    </row>
    <row r="989" spans="7:11" x14ac:dyDescent="0.3">
      <c r="G989" t="s">
        <v>243</v>
      </c>
      <c r="H989" s="1">
        <v>40</v>
      </c>
      <c r="I989" s="1" t="s">
        <v>379</v>
      </c>
      <c r="J989" s="11">
        <v>45923</v>
      </c>
      <c r="K989" t="s">
        <v>95</v>
      </c>
    </row>
    <row r="990" spans="7:11" x14ac:dyDescent="0.3">
      <c r="G990" t="s">
        <v>243</v>
      </c>
      <c r="H990" s="1">
        <v>40</v>
      </c>
      <c r="I990" s="1" t="s">
        <v>379</v>
      </c>
      <c r="J990" s="11">
        <v>45923</v>
      </c>
      <c r="K990" t="s">
        <v>95</v>
      </c>
    </row>
    <row r="991" spans="7:11" x14ac:dyDescent="0.3">
      <c r="G991" t="s">
        <v>339</v>
      </c>
      <c r="H991" s="1">
        <v>570</v>
      </c>
      <c r="I991" s="1" t="s">
        <v>379</v>
      </c>
      <c r="J991" s="11">
        <v>45923</v>
      </c>
      <c r="K991" t="s">
        <v>275</v>
      </c>
    </row>
    <row r="992" spans="7:11" x14ac:dyDescent="0.3">
      <c r="G992" t="s">
        <v>349</v>
      </c>
      <c r="H992" s="1">
        <v>920</v>
      </c>
      <c r="I992" s="1" t="s">
        <v>379</v>
      </c>
      <c r="J992" s="11">
        <v>45923</v>
      </c>
      <c r="K992" t="s">
        <v>270</v>
      </c>
    </row>
    <row r="993" spans="7:11" x14ac:dyDescent="0.3">
      <c r="G993" t="s">
        <v>387</v>
      </c>
      <c r="H993" s="1">
        <v>241</v>
      </c>
      <c r="I993" s="1" t="s">
        <v>379</v>
      </c>
      <c r="J993" s="11">
        <v>45923</v>
      </c>
      <c r="K993" t="s">
        <v>91</v>
      </c>
    </row>
    <row r="994" spans="7:11" x14ac:dyDescent="0.3">
      <c r="G994" t="s">
        <v>372</v>
      </c>
      <c r="H994" s="1">
        <v>1560</v>
      </c>
      <c r="I994" s="1" t="s">
        <v>379</v>
      </c>
      <c r="J994" s="11">
        <v>45923</v>
      </c>
      <c r="K994" t="s">
        <v>270</v>
      </c>
    </row>
    <row r="995" spans="7:11" x14ac:dyDescent="0.3">
      <c r="G995" t="s">
        <v>344</v>
      </c>
      <c r="H995" s="1">
        <v>160</v>
      </c>
      <c r="I995" s="1" t="s">
        <v>379</v>
      </c>
      <c r="J995" s="11">
        <v>45923</v>
      </c>
      <c r="K995" t="s">
        <v>270</v>
      </c>
    </row>
    <row r="996" spans="7:11" x14ac:dyDescent="0.3">
      <c r="G996" t="s">
        <v>417</v>
      </c>
      <c r="H996" s="1">
        <v>3180</v>
      </c>
      <c r="I996" s="1" t="s">
        <v>379</v>
      </c>
      <c r="J996" s="11">
        <v>45924</v>
      </c>
      <c r="K996" t="s">
        <v>95</v>
      </c>
    </row>
    <row r="997" spans="7:11" x14ac:dyDescent="0.3">
      <c r="G997" t="s">
        <v>243</v>
      </c>
      <c r="H997" s="1">
        <v>40</v>
      </c>
      <c r="I997" s="1" t="s">
        <v>379</v>
      </c>
      <c r="J997" s="11">
        <v>45924</v>
      </c>
      <c r="K997" t="s">
        <v>95</v>
      </c>
    </row>
    <row r="998" spans="7:11" x14ac:dyDescent="0.3">
      <c r="G998" t="s">
        <v>298</v>
      </c>
      <c r="H998" s="1">
        <v>15</v>
      </c>
      <c r="I998" s="1" t="s">
        <v>379</v>
      </c>
      <c r="J998" s="11">
        <v>45924</v>
      </c>
      <c r="K998" t="s">
        <v>91</v>
      </c>
    </row>
    <row r="999" spans="7:11" x14ac:dyDescent="0.3">
      <c r="G999" t="s">
        <v>149</v>
      </c>
      <c r="H999" s="1">
        <v>120</v>
      </c>
      <c r="I999" s="1" t="s">
        <v>379</v>
      </c>
      <c r="J999" s="11">
        <v>45924</v>
      </c>
      <c r="K999" t="s">
        <v>210</v>
      </c>
    </row>
    <row r="1000" spans="7:11" x14ac:dyDescent="0.3">
      <c r="G1000" t="s">
        <v>353</v>
      </c>
      <c r="H1000" s="1">
        <v>1020</v>
      </c>
      <c r="I1000" s="1" t="s">
        <v>379</v>
      </c>
      <c r="J1000" s="11">
        <v>45924</v>
      </c>
      <c r="K1000" t="s">
        <v>270</v>
      </c>
    </row>
    <row r="1001" spans="7:11" x14ac:dyDescent="0.3">
      <c r="G1001" t="s">
        <v>418</v>
      </c>
      <c r="H1001" s="1">
        <v>80</v>
      </c>
      <c r="I1001" s="1" t="s">
        <v>379</v>
      </c>
      <c r="J1001" s="11">
        <v>45924</v>
      </c>
      <c r="K1001" t="s">
        <v>270</v>
      </c>
    </row>
    <row r="1002" spans="7:11" x14ac:dyDescent="0.3">
      <c r="G1002" t="s">
        <v>243</v>
      </c>
      <c r="H1002" s="1">
        <v>470</v>
      </c>
      <c r="I1002" s="1" t="s">
        <v>379</v>
      </c>
      <c r="J1002" s="11">
        <v>45925</v>
      </c>
      <c r="K1002" t="s">
        <v>95</v>
      </c>
    </row>
    <row r="1003" spans="7:11" x14ac:dyDescent="0.3">
      <c r="G1003" t="s">
        <v>20</v>
      </c>
      <c r="H1003" s="1">
        <v>30</v>
      </c>
      <c r="I1003" s="1" t="s">
        <v>379</v>
      </c>
      <c r="J1003" s="11">
        <v>45925</v>
      </c>
      <c r="K1003" t="s">
        <v>275</v>
      </c>
    </row>
    <row r="1004" spans="7:11" x14ac:dyDescent="0.3">
      <c r="G1004" t="s">
        <v>419</v>
      </c>
      <c r="H1004" s="1">
        <v>35</v>
      </c>
      <c r="I1004" s="1" t="s">
        <v>379</v>
      </c>
      <c r="J1004" s="11">
        <v>45925</v>
      </c>
      <c r="K1004" t="s">
        <v>275</v>
      </c>
    </row>
    <row r="1005" spans="7:11" x14ac:dyDescent="0.3">
      <c r="G1005" t="s">
        <v>162</v>
      </c>
      <c r="H1005" s="1">
        <v>843</v>
      </c>
      <c r="I1005" s="1" t="s">
        <v>379</v>
      </c>
      <c r="J1005" s="11">
        <v>45925</v>
      </c>
      <c r="K1005" t="s">
        <v>162</v>
      </c>
    </row>
    <row r="1006" spans="7:11" x14ac:dyDescent="0.3">
      <c r="G1006" t="s">
        <v>149</v>
      </c>
      <c r="H1006" s="1">
        <v>65</v>
      </c>
      <c r="I1006" s="1" t="s">
        <v>379</v>
      </c>
      <c r="J1006" s="11">
        <v>45925</v>
      </c>
      <c r="K1006" t="s">
        <v>210</v>
      </c>
    </row>
    <row r="1007" spans="7:11" x14ac:dyDescent="0.3">
      <c r="G1007" t="s">
        <v>414</v>
      </c>
      <c r="H1007" s="1">
        <v>730</v>
      </c>
      <c r="I1007" s="1" t="s">
        <v>379</v>
      </c>
      <c r="J1007" s="11">
        <v>45925</v>
      </c>
      <c r="K1007" t="s">
        <v>90</v>
      </c>
    </row>
    <row r="1008" spans="7:11" x14ac:dyDescent="0.3">
      <c r="G1008" t="s">
        <v>420</v>
      </c>
      <c r="H1008" s="1">
        <v>996</v>
      </c>
      <c r="I1008" s="1" t="s">
        <v>379</v>
      </c>
      <c r="J1008" s="11">
        <v>45925</v>
      </c>
      <c r="K1008" t="s">
        <v>90</v>
      </c>
    </row>
    <row r="1009" spans="7:11" x14ac:dyDescent="0.3">
      <c r="G1009" t="s">
        <v>357</v>
      </c>
      <c r="H1009" s="1">
        <v>550</v>
      </c>
      <c r="I1009" s="1" t="s">
        <v>379</v>
      </c>
      <c r="J1009" s="11">
        <v>45925</v>
      </c>
      <c r="K1009" t="s">
        <v>90</v>
      </c>
    </row>
    <row r="1010" spans="7:11" x14ac:dyDescent="0.3">
      <c r="G1010" t="s">
        <v>370</v>
      </c>
      <c r="H1010" s="1">
        <v>80</v>
      </c>
      <c r="I1010" s="1" t="s">
        <v>379</v>
      </c>
      <c r="J1010" s="11">
        <v>45925</v>
      </c>
      <c r="K1010" t="s">
        <v>90</v>
      </c>
    </row>
    <row r="1011" spans="7:11" x14ac:dyDescent="0.3">
      <c r="G1011" t="s">
        <v>60</v>
      </c>
      <c r="H1011" s="1">
        <v>20</v>
      </c>
      <c r="I1011" s="1" t="s">
        <v>379</v>
      </c>
      <c r="J1011" s="11">
        <v>45925</v>
      </c>
      <c r="K1011" t="s">
        <v>96</v>
      </c>
    </row>
    <row r="1012" spans="7:11" x14ac:dyDescent="0.3">
      <c r="G1012" t="s">
        <v>416</v>
      </c>
      <c r="H1012" s="1">
        <v>220</v>
      </c>
      <c r="I1012" s="1" t="s">
        <v>379</v>
      </c>
      <c r="J1012" s="11">
        <v>45926</v>
      </c>
      <c r="K1012" t="s">
        <v>95</v>
      </c>
    </row>
    <row r="1013" spans="7:11" x14ac:dyDescent="0.3">
      <c r="G1013" t="s">
        <v>149</v>
      </c>
      <c r="H1013" s="1">
        <v>125</v>
      </c>
      <c r="I1013" s="1" t="s">
        <v>379</v>
      </c>
      <c r="J1013" s="11">
        <v>45926</v>
      </c>
      <c r="K1013" t="s">
        <v>210</v>
      </c>
    </row>
    <row r="1014" spans="7:11" x14ac:dyDescent="0.3">
      <c r="G1014" t="s">
        <v>35</v>
      </c>
      <c r="H1014" s="1">
        <v>109.61</v>
      </c>
      <c r="I1014" s="1" t="s">
        <v>379</v>
      </c>
      <c r="J1014" s="11">
        <v>45926</v>
      </c>
      <c r="K1014" t="s">
        <v>96</v>
      </c>
    </row>
    <row r="1015" spans="7:11" x14ac:dyDescent="0.3">
      <c r="G1015" t="s">
        <v>169</v>
      </c>
      <c r="H1015" s="1">
        <v>150</v>
      </c>
      <c r="I1015" s="1" t="s">
        <v>379</v>
      </c>
      <c r="J1015" s="11">
        <v>45926</v>
      </c>
      <c r="K1015" t="s">
        <v>96</v>
      </c>
    </row>
    <row r="1016" spans="7:11" x14ac:dyDescent="0.3">
      <c r="G1016" t="s">
        <v>149</v>
      </c>
      <c r="H1016" s="1">
        <v>78.5</v>
      </c>
      <c r="I1016" s="1" t="s">
        <v>379</v>
      </c>
      <c r="J1016" s="11">
        <v>45926</v>
      </c>
      <c r="K1016" t="s">
        <v>210</v>
      </c>
    </row>
    <row r="1017" spans="7:11" x14ac:dyDescent="0.3">
      <c r="G1017" t="s">
        <v>341</v>
      </c>
      <c r="H1017" s="1">
        <v>540</v>
      </c>
      <c r="I1017" s="1" t="s">
        <v>379</v>
      </c>
      <c r="J1017" s="11">
        <v>45926</v>
      </c>
      <c r="K1017" t="s">
        <v>90</v>
      </c>
    </row>
    <row r="1018" spans="7:11" x14ac:dyDescent="0.3">
      <c r="G1018" t="s">
        <v>405</v>
      </c>
      <c r="H1018" s="1">
        <v>3100</v>
      </c>
      <c r="I1018" s="1" t="s">
        <v>379</v>
      </c>
      <c r="J1018" s="11">
        <v>45926</v>
      </c>
      <c r="K1018" t="s">
        <v>405</v>
      </c>
    </row>
    <row r="1019" spans="7:11" x14ac:dyDescent="0.3">
      <c r="G1019" t="s">
        <v>169</v>
      </c>
      <c r="H1019" s="1">
        <v>1390</v>
      </c>
      <c r="I1019" s="1" t="s">
        <v>379</v>
      </c>
      <c r="J1019" s="11">
        <v>45926</v>
      </c>
      <c r="K1019" t="s">
        <v>96</v>
      </c>
    </row>
    <row r="1020" spans="7:11" x14ac:dyDescent="0.3">
      <c r="G1020" t="s">
        <v>33</v>
      </c>
      <c r="H1020" s="1">
        <v>830</v>
      </c>
      <c r="I1020" s="1" t="s">
        <v>379</v>
      </c>
      <c r="J1020" s="11">
        <v>45926</v>
      </c>
      <c r="K1020" t="s">
        <v>97</v>
      </c>
    </row>
    <row r="1021" spans="7:11" x14ac:dyDescent="0.3">
      <c r="G1021" t="s">
        <v>229</v>
      </c>
      <c r="H1021" s="1">
        <v>245</v>
      </c>
      <c r="I1021" s="1" t="s">
        <v>379</v>
      </c>
      <c r="J1021" s="11">
        <v>45927</v>
      </c>
      <c r="K1021" t="s">
        <v>95</v>
      </c>
    </row>
    <row r="1022" spans="7:11" x14ac:dyDescent="0.3">
      <c r="G1022" t="s">
        <v>422</v>
      </c>
      <c r="H1022" s="1">
        <v>270</v>
      </c>
      <c r="I1022" s="1" t="s">
        <v>379</v>
      </c>
      <c r="J1022" s="11">
        <v>45927</v>
      </c>
      <c r="K1022" t="s">
        <v>97</v>
      </c>
    </row>
    <row r="1023" spans="7:11" x14ac:dyDescent="0.3">
      <c r="G1023" t="s">
        <v>421</v>
      </c>
      <c r="H1023" s="1">
        <v>32</v>
      </c>
      <c r="I1023" s="1" t="s">
        <v>379</v>
      </c>
      <c r="J1023" s="11">
        <v>45927</v>
      </c>
      <c r="K1023" t="s">
        <v>275</v>
      </c>
    </row>
    <row r="1024" spans="7:11" x14ac:dyDescent="0.3">
      <c r="G1024" t="s">
        <v>423</v>
      </c>
      <c r="H1024" s="1">
        <v>12</v>
      </c>
      <c r="I1024" s="1" t="s">
        <v>379</v>
      </c>
      <c r="J1024" s="11">
        <v>45927</v>
      </c>
      <c r="K1024" t="s">
        <v>275</v>
      </c>
    </row>
    <row r="1025" spans="7:11" x14ac:dyDescent="0.3">
      <c r="G1025" t="s">
        <v>420</v>
      </c>
      <c r="H1025" s="1">
        <v>150</v>
      </c>
      <c r="I1025" s="1" t="s">
        <v>379</v>
      </c>
      <c r="J1025" s="11">
        <v>45927</v>
      </c>
      <c r="K1025" t="s">
        <v>420</v>
      </c>
    </row>
    <row r="1026" spans="7:11" x14ac:dyDescent="0.3">
      <c r="G1026" t="s">
        <v>370</v>
      </c>
      <c r="H1026" s="1">
        <v>110</v>
      </c>
      <c r="I1026" s="1" t="s">
        <v>379</v>
      </c>
      <c r="J1026" s="11">
        <v>45927</v>
      </c>
      <c r="K1026" t="s">
        <v>90</v>
      </c>
    </row>
    <row r="1027" spans="7:11" x14ac:dyDescent="0.3">
      <c r="G1027" t="s">
        <v>348</v>
      </c>
      <c r="H1027" s="1">
        <v>1200</v>
      </c>
      <c r="I1027" s="1" t="s">
        <v>379</v>
      </c>
      <c r="J1027" s="11">
        <v>45927</v>
      </c>
      <c r="K1027" t="s">
        <v>90</v>
      </c>
    </row>
    <row r="1028" spans="7:11" x14ac:dyDescent="0.3">
      <c r="G1028" t="s">
        <v>349</v>
      </c>
      <c r="H1028" s="1">
        <v>845</v>
      </c>
      <c r="I1028" s="1" t="s">
        <v>379</v>
      </c>
      <c r="J1028" s="11">
        <v>45927</v>
      </c>
      <c r="K1028" t="s">
        <v>90</v>
      </c>
    </row>
    <row r="1029" spans="7:11" x14ac:dyDescent="0.3">
      <c r="G1029" t="s">
        <v>243</v>
      </c>
      <c r="H1029" s="1">
        <v>40</v>
      </c>
      <c r="I1029" s="1" t="s">
        <v>379</v>
      </c>
      <c r="J1029" s="11">
        <v>45929</v>
      </c>
      <c r="K1029" t="s">
        <v>95</v>
      </c>
    </row>
    <row r="1030" spans="7:11" x14ac:dyDescent="0.3">
      <c r="G1030" t="s">
        <v>76</v>
      </c>
      <c r="H1030" s="1">
        <v>20</v>
      </c>
      <c r="I1030" s="1" t="s">
        <v>379</v>
      </c>
      <c r="J1030" s="11">
        <v>45929</v>
      </c>
      <c r="K1030" t="s">
        <v>275</v>
      </c>
    </row>
    <row r="1031" spans="7:11" x14ac:dyDescent="0.3">
      <c r="G1031" t="s">
        <v>205</v>
      </c>
      <c r="H1031" s="1">
        <v>270</v>
      </c>
      <c r="I1031" s="1" t="s">
        <v>379</v>
      </c>
      <c r="J1031" s="11">
        <v>45929</v>
      </c>
      <c r="K1031" t="s">
        <v>205</v>
      </c>
    </row>
    <row r="1032" spans="7:11" x14ac:dyDescent="0.3">
      <c r="G1032" t="s">
        <v>424</v>
      </c>
      <c r="H1032" s="1">
        <v>30</v>
      </c>
      <c r="I1032" s="1" t="s">
        <v>379</v>
      </c>
      <c r="J1032" s="11">
        <v>45929</v>
      </c>
      <c r="K1032" t="s">
        <v>96</v>
      </c>
    </row>
    <row r="1033" spans="7:11" x14ac:dyDescent="0.3">
      <c r="G1033" t="s">
        <v>149</v>
      </c>
      <c r="H1033" s="1">
        <v>30</v>
      </c>
      <c r="I1033" s="1" t="s">
        <v>379</v>
      </c>
      <c r="J1033" s="11">
        <v>45929</v>
      </c>
      <c r="K1033" t="s">
        <v>210</v>
      </c>
    </row>
    <row r="1034" spans="7:11" x14ac:dyDescent="0.3">
      <c r="G1034" t="s">
        <v>374</v>
      </c>
      <c r="H1034" s="1">
        <v>1350</v>
      </c>
      <c r="I1034" s="1" t="s">
        <v>379</v>
      </c>
      <c r="J1034" s="11">
        <v>45929</v>
      </c>
      <c r="K1034" t="s">
        <v>90</v>
      </c>
    </row>
    <row r="1035" spans="7:11" x14ac:dyDescent="0.3">
      <c r="G1035" t="s">
        <v>387</v>
      </c>
      <c r="H1035" s="1">
        <v>480</v>
      </c>
      <c r="I1035" s="1" t="s">
        <v>379</v>
      </c>
      <c r="J1035" s="11">
        <v>45929</v>
      </c>
      <c r="K1035" t="s">
        <v>91</v>
      </c>
    </row>
    <row r="1036" spans="7:11" x14ac:dyDescent="0.3">
      <c r="G1036" t="s">
        <v>298</v>
      </c>
      <c r="H1036" s="1">
        <v>1500</v>
      </c>
      <c r="I1036" s="1" t="s">
        <v>379</v>
      </c>
      <c r="J1036" s="11">
        <v>45929</v>
      </c>
      <c r="K1036" t="s">
        <v>91</v>
      </c>
    </row>
    <row r="1037" spans="7:11" x14ac:dyDescent="0.3">
      <c r="G1037" t="s">
        <v>149</v>
      </c>
      <c r="H1037" s="1">
        <v>150</v>
      </c>
      <c r="I1037" s="1" t="s">
        <v>379</v>
      </c>
      <c r="J1037" s="11">
        <v>45929</v>
      </c>
      <c r="K1037" t="s">
        <v>210</v>
      </c>
    </row>
    <row r="1038" spans="7:11" x14ac:dyDescent="0.3">
      <c r="G1038" t="s">
        <v>361</v>
      </c>
      <c r="H1038" s="1">
        <v>1345</v>
      </c>
      <c r="I1038" s="1" t="s">
        <v>379</v>
      </c>
      <c r="J1038" s="11">
        <v>45929</v>
      </c>
      <c r="K1038" t="s">
        <v>90</v>
      </c>
    </row>
    <row r="1039" spans="7:11" x14ac:dyDescent="0.3">
      <c r="G1039" t="s">
        <v>337</v>
      </c>
      <c r="H1039" s="1">
        <v>100</v>
      </c>
      <c r="I1039" s="1" t="s">
        <v>379</v>
      </c>
      <c r="J1039" s="11">
        <v>45929</v>
      </c>
      <c r="K1039" t="s">
        <v>90</v>
      </c>
    </row>
    <row r="1040" spans="7:11" x14ac:dyDescent="0.3">
      <c r="G1040" t="s">
        <v>251</v>
      </c>
      <c r="H1040" s="1">
        <v>200</v>
      </c>
      <c r="I1040" s="1" t="s">
        <v>379</v>
      </c>
      <c r="J1040" s="11">
        <v>45929</v>
      </c>
      <c r="K1040" t="s">
        <v>275</v>
      </c>
    </row>
    <row r="1041" spans="7:11" x14ac:dyDescent="0.3">
      <c r="G1041" t="s">
        <v>243</v>
      </c>
      <c r="H1041" s="1">
        <v>40</v>
      </c>
      <c r="I1041" s="1" t="s">
        <v>379</v>
      </c>
      <c r="J1041" s="11">
        <v>45930</v>
      </c>
      <c r="K1041" t="s">
        <v>95</v>
      </c>
    </row>
    <row r="1042" spans="7:11" x14ac:dyDescent="0.3">
      <c r="G1042" t="s">
        <v>243</v>
      </c>
      <c r="H1042" s="1">
        <v>40</v>
      </c>
      <c r="I1042" s="1" t="s">
        <v>379</v>
      </c>
      <c r="J1042" s="11">
        <v>45930</v>
      </c>
      <c r="K1042" t="s">
        <v>95</v>
      </c>
    </row>
    <row r="1043" spans="7:11" x14ac:dyDescent="0.3">
      <c r="G1043" t="s">
        <v>243</v>
      </c>
      <c r="H1043" s="1">
        <v>80</v>
      </c>
      <c r="I1043" s="1" t="s">
        <v>379</v>
      </c>
      <c r="J1043" s="11">
        <v>45930</v>
      </c>
      <c r="K1043" t="s">
        <v>95</v>
      </c>
    </row>
    <row r="1044" spans="7:11" x14ac:dyDescent="0.3">
      <c r="G1044" t="s">
        <v>243</v>
      </c>
      <c r="H1044" s="1">
        <v>80</v>
      </c>
      <c r="I1044" s="1" t="s">
        <v>379</v>
      </c>
      <c r="J1044" s="11">
        <v>45930</v>
      </c>
      <c r="K1044" t="s">
        <v>95</v>
      </c>
    </row>
    <row r="1045" spans="7:11" x14ac:dyDescent="0.3">
      <c r="G1045" t="s">
        <v>243</v>
      </c>
      <c r="H1045" s="1">
        <v>40</v>
      </c>
      <c r="I1045" s="1" t="s">
        <v>379</v>
      </c>
      <c r="J1045" s="11">
        <v>45930</v>
      </c>
      <c r="K1045" t="s">
        <v>95</v>
      </c>
    </row>
    <row r="1046" spans="7:11" x14ac:dyDescent="0.3">
      <c r="G1046" t="s">
        <v>70</v>
      </c>
      <c r="H1046" s="1">
        <v>80</v>
      </c>
      <c r="I1046" s="1" t="s">
        <v>379</v>
      </c>
      <c r="J1046" s="11">
        <v>45930</v>
      </c>
      <c r="K1046" t="s">
        <v>275</v>
      </c>
    </row>
    <row r="1047" spans="7:11" x14ac:dyDescent="0.3">
      <c r="G1047" t="s">
        <v>346</v>
      </c>
      <c r="H1047" s="1">
        <v>155</v>
      </c>
      <c r="I1047" s="1" t="s">
        <v>379</v>
      </c>
      <c r="J1047" s="11">
        <v>45930</v>
      </c>
      <c r="K1047" t="s">
        <v>275</v>
      </c>
    </row>
    <row r="1048" spans="7:11" x14ac:dyDescent="0.3">
      <c r="G1048" t="s">
        <v>149</v>
      </c>
      <c r="H1048" s="1">
        <v>444.5</v>
      </c>
      <c r="I1048" s="1" t="s">
        <v>379</v>
      </c>
      <c r="J1048" s="11">
        <v>45930</v>
      </c>
      <c r="K1048" t="s">
        <v>210</v>
      </c>
    </row>
    <row r="1049" spans="7:11" x14ac:dyDescent="0.3">
      <c r="G1049" t="s">
        <v>370</v>
      </c>
      <c r="H1049" s="1">
        <v>240</v>
      </c>
      <c r="I1049" s="1" t="s">
        <v>379</v>
      </c>
      <c r="J1049" s="11">
        <v>45930</v>
      </c>
      <c r="K1049" t="s">
        <v>90</v>
      </c>
    </row>
    <row r="1050" spans="7:11" x14ac:dyDescent="0.3">
      <c r="G1050" t="s">
        <v>386</v>
      </c>
      <c r="H1050" s="1">
        <v>600</v>
      </c>
      <c r="I1050" s="1" t="s">
        <v>379</v>
      </c>
      <c r="J1050" s="11">
        <v>45930</v>
      </c>
      <c r="K1050" t="s">
        <v>90</v>
      </c>
    </row>
    <row r="1051" spans="7:11" x14ac:dyDescent="0.3">
      <c r="G1051" t="s">
        <v>13</v>
      </c>
      <c r="H1051" s="1">
        <v>104</v>
      </c>
      <c r="I1051" s="1" t="s">
        <v>379</v>
      </c>
      <c r="J1051" s="11">
        <v>45930</v>
      </c>
      <c r="K1051" t="s">
        <v>97</v>
      </c>
    </row>
    <row r="1052" spans="7:11" x14ac:dyDescent="0.3">
      <c r="G1052" t="s">
        <v>425</v>
      </c>
      <c r="H1052" s="1">
        <v>350</v>
      </c>
      <c r="I1052" s="1" t="s">
        <v>379</v>
      </c>
      <c r="J1052" s="11">
        <v>45930</v>
      </c>
      <c r="K1052" t="s">
        <v>97</v>
      </c>
    </row>
    <row r="1053" spans="7:11" x14ac:dyDescent="0.3">
      <c r="G1053" t="s">
        <v>243</v>
      </c>
      <c r="H1053" s="1">
        <v>130</v>
      </c>
      <c r="I1053" s="1" t="s">
        <v>426</v>
      </c>
      <c r="J1053" s="11">
        <v>45931</v>
      </c>
      <c r="K1053" t="s">
        <v>95</v>
      </c>
    </row>
    <row r="1054" spans="7:11" x14ac:dyDescent="0.3">
      <c r="G1054" t="s">
        <v>332</v>
      </c>
      <c r="H1054" s="1">
        <v>2000</v>
      </c>
      <c r="I1054" s="1" t="s">
        <v>426</v>
      </c>
      <c r="J1054" s="11">
        <v>45931</v>
      </c>
      <c r="K1054" t="s">
        <v>91</v>
      </c>
    </row>
    <row r="1055" spans="7:11" x14ac:dyDescent="0.3">
      <c r="G1055" t="s">
        <v>299</v>
      </c>
      <c r="H1055" s="1">
        <v>800</v>
      </c>
      <c r="I1055" s="1" t="s">
        <v>426</v>
      </c>
      <c r="J1055" s="11">
        <v>45931</v>
      </c>
      <c r="K1055" t="s">
        <v>91</v>
      </c>
    </row>
    <row r="1056" spans="7:11" x14ac:dyDescent="0.3">
      <c r="G1056" t="s">
        <v>299</v>
      </c>
      <c r="H1056" s="1">
        <v>232.5</v>
      </c>
      <c r="I1056" s="1" t="s">
        <v>426</v>
      </c>
      <c r="J1056" s="11">
        <v>45931</v>
      </c>
      <c r="K1056" t="s">
        <v>91</v>
      </c>
    </row>
    <row r="1057" spans="7:11" x14ac:dyDescent="0.3">
      <c r="G1057" t="s">
        <v>334</v>
      </c>
      <c r="H1057" s="1">
        <v>1414.5</v>
      </c>
      <c r="I1057" s="1" t="s">
        <v>426</v>
      </c>
      <c r="J1057" s="11">
        <v>45931</v>
      </c>
      <c r="K1057" t="s">
        <v>91</v>
      </c>
    </row>
    <row r="1058" spans="7:11" x14ac:dyDescent="0.3">
      <c r="G1058" t="s">
        <v>427</v>
      </c>
      <c r="H1058" s="1">
        <v>850</v>
      </c>
      <c r="I1058" s="1" t="s">
        <v>426</v>
      </c>
      <c r="J1058" s="11">
        <v>45931</v>
      </c>
      <c r="K1058" t="s">
        <v>270</v>
      </c>
    </row>
    <row r="1059" spans="7:11" x14ac:dyDescent="0.3">
      <c r="G1059" t="s">
        <v>354</v>
      </c>
      <c r="H1059" s="1">
        <v>350</v>
      </c>
      <c r="I1059" s="1" t="s">
        <v>426</v>
      </c>
      <c r="J1059" s="11">
        <v>45931</v>
      </c>
      <c r="K1059" t="s">
        <v>270</v>
      </c>
    </row>
    <row r="1060" spans="7:11" x14ac:dyDescent="0.3">
      <c r="G1060" t="s">
        <v>428</v>
      </c>
      <c r="H1060" s="1">
        <v>703</v>
      </c>
      <c r="I1060" s="1" t="s">
        <v>426</v>
      </c>
      <c r="J1060" s="11">
        <v>45931</v>
      </c>
      <c r="K1060" t="s">
        <v>275</v>
      </c>
    </row>
    <row r="1061" spans="7:11" x14ac:dyDescent="0.3">
      <c r="G1061" t="s">
        <v>305</v>
      </c>
      <c r="H1061" s="1">
        <v>100</v>
      </c>
      <c r="I1061" s="1" t="s">
        <v>426</v>
      </c>
      <c r="J1061" s="11">
        <v>45932</v>
      </c>
      <c r="K1061" t="s">
        <v>95</v>
      </c>
    </row>
    <row r="1062" spans="7:11" x14ac:dyDescent="0.3">
      <c r="G1062" t="s">
        <v>243</v>
      </c>
      <c r="H1062" s="1">
        <v>130</v>
      </c>
      <c r="I1062" s="1" t="s">
        <v>426</v>
      </c>
      <c r="J1062" s="11">
        <v>45932</v>
      </c>
      <c r="K1062" t="s">
        <v>95</v>
      </c>
    </row>
    <row r="1063" spans="7:11" x14ac:dyDescent="0.3">
      <c r="G1063" t="s">
        <v>243</v>
      </c>
      <c r="H1063" s="1">
        <v>260</v>
      </c>
      <c r="I1063" s="1" t="s">
        <v>426</v>
      </c>
      <c r="J1063" s="11">
        <v>45932</v>
      </c>
      <c r="K1063" t="s">
        <v>95</v>
      </c>
    </row>
    <row r="1064" spans="7:11" x14ac:dyDescent="0.3">
      <c r="G1064" t="s">
        <v>149</v>
      </c>
      <c r="H1064" s="1">
        <v>40</v>
      </c>
      <c r="I1064" s="1" t="s">
        <v>426</v>
      </c>
      <c r="J1064" s="11">
        <v>45932</v>
      </c>
      <c r="K1064" t="s">
        <v>210</v>
      </c>
    </row>
    <row r="1065" spans="7:11" x14ac:dyDescent="0.3">
      <c r="G1065" t="s">
        <v>149</v>
      </c>
      <c r="H1065" s="1">
        <v>485</v>
      </c>
      <c r="I1065" s="1" t="s">
        <v>426</v>
      </c>
      <c r="J1065" s="11">
        <v>45932</v>
      </c>
      <c r="K1065" t="s">
        <v>210</v>
      </c>
    </row>
    <row r="1066" spans="7:11" x14ac:dyDescent="0.3">
      <c r="G1066" t="s">
        <v>431</v>
      </c>
      <c r="H1066" s="1">
        <v>4000</v>
      </c>
      <c r="I1066" s="1" t="s">
        <v>426</v>
      </c>
      <c r="J1066" s="11">
        <v>45932</v>
      </c>
      <c r="K1066" t="s">
        <v>91</v>
      </c>
    </row>
    <row r="1067" spans="7:11" x14ac:dyDescent="0.3">
      <c r="G1067" t="s">
        <v>376</v>
      </c>
      <c r="H1067" s="1">
        <v>2085</v>
      </c>
      <c r="I1067" s="1" t="s">
        <v>426</v>
      </c>
      <c r="J1067" s="11">
        <v>45932</v>
      </c>
      <c r="K1067" t="s">
        <v>91</v>
      </c>
    </row>
    <row r="1068" spans="7:11" x14ac:dyDescent="0.3">
      <c r="G1068" t="s">
        <v>430</v>
      </c>
      <c r="H1068" s="1">
        <v>120</v>
      </c>
      <c r="I1068" s="1" t="s">
        <v>426</v>
      </c>
      <c r="J1068" s="11">
        <v>45932</v>
      </c>
      <c r="K1068" t="s">
        <v>91</v>
      </c>
    </row>
    <row r="1069" spans="7:11" x14ac:dyDescent="0.3">
      <c r="G1069" t="s">
        <v>299</v>
      </c>
      <c r="H1069" s="1">
        <v>45</v>
      </c>
      <c r="I1069" s="1" t="s">
        <v>426</v>
      </c>
      <c r="J1069" s="11">
        <v>45932</v>
      </c>
      <c r="K1069" t="s">
        <v>91</v>
      </c>
    </row>
    <row r="1070" spans="7:11" x14ac:dyDescent="0.3">
      <c r="G1070" t="s">
        <v>429</v>
      </c>
      <c r="H1070" s="1">
        <v>100</v>
      </c>
      <c r="I1070" s="1" t="s">
        <v>426</v>
      </c>
      <c r="J1070" s="11">
        <v>45932</v>
      </c>
      <c r="K1070" t="s">
        <v>97</v>
      </c>
    </row>
    <row r="1071" spans="7:11" x14ac:dyDescent="0.3">
      <c r="G1071" t="s">
        <v>420</v>
      </c>
      <c r="H1071" s="1">
        <v>714</v>
      </c>
      <c r="I1071" s="1" t="s">
        <v>426</v>
      </c>
      <c r="J1071" s="11">
        <v>45932</v>
      </c>
      <c r="K1071" t="s">
        <v>270</v>
      </c>
    </row>
    <row r="1072" spans="7:11" x14ac:dyDescent="0.3">
      <c r="G1072" t="s">
        <v>420</v>
      </c>
      <c r="H1072" s="1">
        <v>480</v>
      </c>
      <c r="I1072" s="1" t="s">
        <v>426</v>
      </c>
      <c r="J1072" s="11">
        <v>45932</v>
      </c>
      <c r="K1072" t="s">
        <v>270</v>
      </c>
    </row>
    <row r="1073" spans="7:11" x14ac:dyDescent="0.3">
      <c r="G1073" t="s">
        <v>414</v>
      </c>
      <c r="H1073" s="1">
        <v>600</v>
      </c>
      <c r="I1073" s="1" t="s">
        <v>426</v>
      </c>
      <c r="J1073" s="11">
        <v>45932</v>
      </c>
      <c r="K1073" t="s">
        <v>270</v>
      </c>
    </row>
    <row r="1074" spans="7:11" x14ac:dyDescent="0.3">
      <c r="G1074" t="s">
        <v>336</v>
      </c>
      <c r="H1074" s="1">
        <v>200</v>
      </c>
      <c r="I1074" s="1" t="s">
        <v>426</v>
      </c>
      <c r="J1074" s="11">
        <v>45932</v>
      </c>
      <c r="K1074" t="s">
        <v>270</v>
      </c>
    </row>
    <row r="1075" spans="7:11" x14ac:dyDescent="0.3">
      <c r="G1075" t="s">
        <v>357</v>
      </c>
      <c r="H1075" s="1">
        <v>700</v>
      </c>
      <c r="I1075" s="1" t="s">
        <v>426</v>
      </c>
      <c r="J1075" s="11">
        <v>45932</v>
      </c>
      <c r="K1075" t="s">
        <v>270</v>
      </c>
    </row>
    <row r="1076" spans="7:11" x14ac:dyDescent="0.3">
      <c r="G1076" t="s">
        <v>60</v>
      </c>
      <c r="H1076" s="1">
        <v>20</v>
      </c>
      <c r="I1076" s="1" t="s">
        <v>426</v>
      </c>
      <c r="J1076" s="11">
        <v>45932</v>
      </c>
      <c r="K1076" t="s">
        <v>275</v>
      </c>
    </row>
    <row r="1077" spans="7:11" x14ac:dyDescent="0.3">
      <c r="G1077" t="s">
        <v>20</v>
      </c>
      <c r="H1077" s="1">
        <v>28.5</v>
      </c>
      <c r="I1077" s="1" t="s">
        <v>426</v>
      </c>
      <c r="J1077" s="11">
        <v>45932</v>
      </c>
      <c r="K1077" t="s">
        <v>275</v>
      </c>
    </row>
    <row r="1078" spans="7:11" x14ac:dyDescent="0.3">
      <c r="G1078" t="s">
        <v>312</v>
      </c>
      <c r="H1078" s="1">
        <v>30</v>
      </c>
      <c r="I1078" s="1" t="s">
        <v>426</v>
      </c>
      <c r="J1078" s="11">
        <v>45932</v>
      </c>
      <c r="K1078" t="s">
        <v>275</v>
      </c>
    </row>
    <row r="1079" spans="7:11" x14ac:dyDescent="0.3">
      <c r="G1079" t="s">
        <v>49</v>
      </c>
      <c r="H1079" s="1">
        <v>45</v>
      </c>
      <c r="I1079" s="1" t="s">
        <v>426</v>
      </c>
      <c r="J1079" s="11">
        <v>45932</v>
      </c>
      <c r="K1079" t="s">
        <v>95</v>
      </c>
    </row>
    <row r="1080" spans="7:11" x14ac:dyDescent="0.3">
      <c r="G1080" t="s">
        <v>229</v>
      </c>
      <c r="H1080" s="1">
        <v>460</v>
      </c>
      <c r="I1080" s="1" t="s">
        <v>426</v>
      </c>
      <c r="J1080" s="11">
        <v>45933</v>
      </c>
      <c r="K1080" t="s">
        <v>95</v>
      </c>
    </row>
    <row r="1081" spans="7:11" x14ac:dyDescent="0.3">
      <c r="G1081" t="s">
        <v>243</v>
      </c>
      <c r="H1081" s="1">
        <v>130</v>
      </c>
      <c r="I1081" s="1" t="s">
        <v>426</v>
      </c>
      <c r="J1081" s="11">
        <v>45933</v>
      </c>
      <c r="K1081" t="s">
        <v>95</v>
      </c>
    </row>
    <row r="1082" spans="7:11" x14ac:dyDescent="0.3">
      <c r="G1082" t="s">
        <v>243</v>
      </c>
      <c r="H1082" s="1">
        <v>130</v>
      </c>
      <c r="I1082" s="1" t="s">
        <v>426</v>
      </c>
      <c r="J1082" s="11">
        <v>45933</v>
      </c>
      <c r="K1082" t="s">
        <v>95</v>
      </c>
    </row>
    <row r="1083" spans="7:11" x14ac:dyDescent="0.3">
      <c r="G1083" t="s">
        <v>430</v>
      </c>
      <c r="H1083" s="1">
        <v>2200</v>
      </c>
      <c r="I1083" s="1" t="s">
        <v>426</v>
      </c>
      <c r="J1083" s="11">
        <v>45933</v>
      </c>
      <c r="K1083" t="s">
        <v>91</v>
      </c>
    </row>
    <row r="1084" spans="7:11" x14ac:dyDescent="0.3">
      <c r="G1084" t="s">
        <v>432</v>
      </c>
      <c r="H1084" s="1">
        <v>70</v>
      </c>
      <c r="I1084" s="1" t="s">
        <v>426</v>
      </c>
      <c r="J1084" s="11">
        <v>45933</v>
      </c>
      <c r="K1084" t="s">
        <v>96</v>
      </c>
    </row>
    <row r="1085" spans="7:11" x14ac:dyDescent="0.3">
      <c r="G1085" t="s">
        <v>433</v>
      </c>
      <c r="H1085" s="1">
        <v>500</v>
      </c>
      <c r="I1085" s="1" t="s">
        <v>426</v>
      </c>
      <c r="J1085" s="11">
        <v>45933</v>
      </c>
      <c r="K1085" t="s">
        <v>97</v>
      </c>
    </row>
    <row r="1086" spans="7:11" x14ac:dyDescent="0.3">
      <c r="G1086" t="s">
        <v>33</v>
      </c>
      <c r="H1086" s="1">
        <v>180</v>
      </c>
      <c r="I1086" s="1" t="s">
        <v>426</v>
      </c>
      <c r="J1086" s="11">
        <v>45933</v>
      </c>
      <c r="K1086" t="s">
        <v>97</v>
      </c>
    </row>
    <row r="1087" spans="7:11" x14ac:dyDescent="0.3">
      <c r="G1087" t="s">
        <v>362</v>
      </c>
      <c r="H1087" s="1">
        <v>100</v>
      </c>
      <c r="I1087" s="1" t="s">
        <v>426</v>
      </c>
      <c r="J1087" s="11">
        <v>45933</v>
      </c>
      <c r="K1087" t="s">
        <v>270</v>
      </c>
    </row>
    <row r="1088" spans="7:11" x14ac:dyDescent="0.3">
      <c r="G1088" t="s">
        <v>344</v>
      </c>
      <c r="H1088" s="1">
        <v>280</v>
      </c>
      <c r="I1088" s="1" t="s">
        <v>426</v>
      </c>
      <c r="J1088" s="11">
        <v>45933</v>
      </c>
      <c r="K1088" t="s">
        <v>270</v>
      </c>
    </row>
    <row r="1089" spans="7:11" x14ac:dyDescent="0.3">
      <c r="G1089" t="s">
        <v>337</v>
      </c>
      <c r="H1089" s="1">
        <v>150</v>
      </c>
      <c r="I1089" s="1" t="s">
        <v>426</v>
      </c>
      <c r="J1089" s="11">
        <v>45934</v>
      </c>
      <c r="K1089" t="s">
        <v>270</v>
      </c>
    </row>
    <row r="1090" spans="7:11" x14ac:dyDescent="0.3">
      <c r="G1090" t="s">
        <v>434</v>
      </c>
      <c r="H1090" s="1">
        <v>430</v>
      </c>
      <c r="I1090" s="1" t="s">
        <v>426</v>
      </c>
      <c r="J1090" s="11">
        <v>45934</v>
      </c>
      <c r="K1090" t="s">
        <v>270</v>
      </c>
    </row>
    <row r="1091" spans="7:11" x14ac:dyDescent="0.3">
      <c r="G1091" t="s">
        <v>349</v>
      </c>
      <c r="H1091" s="1">
        <v>1110</v>
      </c>
      <c r="I1091" s="1" t="s">
        <v>426</v>
      </c>
      <c r="J1091" s="11">
        <v>45934</v>
      </c>
      <c r="K1091" t="s">
        <v>270</v>
      </c>
    </row>
    <row r="1092" spans="7:11" x14ac:dyDescent="0.3">
      <c r="G1092" t="s">
        <v>313</v>
      </c>
      <c r="H1092" s="1">
        <v>435</v>
      </c>
      <c r="I1092" s="1" t="s">
        <v>426</v>
      </c>
      <c r="J1092" s="11">
        <v>45934</v>
      </c>
      <c r="K1092" t="s">
        <v>275</v>
      </c>
    </row>
    <row r="1093" spans="7:11" x14ac:dyDescent="0.3">
      <c r="G1093" t="s">
        <v>70</v>
      </c>
      <c r="H1093" s="1">
        <v>400</v>
      </c>
      <c r="I1093" s="1" t="s">
        <v>426</v>
      </c>
      <c r="J1093" s="11">
        <v>45934</v>
      </c>
      <c r="K1093" t="s">
        <v>275</v>
      </c>
    </row>
    <row r="1094" spans="7:11" x14ac:dyDescent="0.3">
      <c r="G1094" t="s">
        <v>435</v>
      </c>
      <c r="H1094" s="1">
        <v>150</v>
      </c>
      <c r="I1094" s="1" t="s">
        <v>426</v>
      </c>
      <c r="J1094" s="11">
        <v>45935</v>
      </c>
      <c r="K1094" t="s">
        <v>275</v>
      </c>
    </row>
    <row r="1095" spans="7:11" x14ac:dyDescent="0.3">
      <c r="G1095" t="s">
        <v>229</v>
      </c>
      <c r="H1095" s="1">
        <v>460</v>
      </c>
      <c r="I1095" s="1" t="s">
        <v>426</v>
      </c>
      <c r="J1095" s="11">
        <v>45936</v>
      </c>
      <c r="K1095" t="s">
        <v>95</v>
      </c>
    </row>
    <row r="1096" spans="7:11" x14ac:dyDescent="0.3">
      <c r="G1096" t="s">
        <v>243</v>
      </c>
      <c r="H1096" s="1">
        <v>260</v>
      </c>
      <c r="I1096" s="1" t="s">
        <v>426</v>
      </c>
      <c r="J1096" s="11">
        <v>45936</v>
      </c>
      <c r="K1096" t="s">
        <v>95</v>
      </c>
    </row>
    <row r="1097" spans="7:11" x14ac:dyDescent="0.3">
      <c r="G1097" t="s">
        <v>243</v>
      </c>
      <c r="H1097" s="1">
        <v>130</v>
      </c>
      <c r="I1097" s="1" t="s">
        <v>426</v>
      </c>
      <c r="J1097" s="11">
        <v>45936</v>
      </c>
      <c r="K1097" t="s">
        <v>95</v>
      </c>
    </row>
    <row r="1098" spans="7:11" x14ac:dyDescent="0.3">
      <c r="G1098" t="s">
        <v>152</v>
      </c>
      <c r="H1098" s="1">
        <v>5000</v>
      </c>
      <c r="I1098" s="1" t="s">
        <v>426</v>
      </c>
      <c r="J1098" s="11">
        <v>45936</v>
      </c>
      <c r="K1098" t="s">
        <v>152</v>
      </c>
    </row>
    <row r="1099" spans="7:11" x14ac:dyDescent="0.3">
      <c r="G1099" t="s">
        <v>436</v>
      </c>
      <c r="H1099" s="1">
        <v>350</v>
      </c>
      <c r="I1099" s="1" t="s">
        <v>426</v>
      </c>
      <c r="J1099" s="11">
        <v>45936</v>
      </c>
      <c r="K1099" t="s">
        <v>2</v>
      </c>
    </row>
    <row r="1100" spans="7:11" x14ac:dyDescent="0.3">
      <c r="G1100" t="s">
        <v>149</v>
      </c>
      <c r="H1100" s="1">
        <v>80</v>
      </c>
      <c r="I1100" s="1" t="s">
        <v>426</v>
      </c>
      <c r="J1100" s="11">
        <v>45936</v>
      </c>
      <c r="K1100" t="s">
        <v>210</v>
      </c>
    </row>
    <row r="1101" spans="7:11" x14ac:dyDescent="0.3">
      <c r="G1101" t="s">
        <v>437</v>
      </c>
      <c r="H1101" s="1">
        <v>900</v>
      </c>
      <c r="I1101" s="1" t="s">
        <v>426</v>
      </c>
      <c r="J1101" s="11">
        <v>45936</v>
      </c>
      <c r="K1101" t="s">
        <v>96</v>
      </c>
    </row>
    <row r="1102" spans="7:11" x14ac:dyDescent="0.3">
      <c r="G1102" t="s">
        <v>341</v>
      </c>
      <c r="H1102" s="1">
        <v>700</v>
      </c>
      <c r="I1102" s="1" t="s">
        <v>426</v>
      </c>
      <c r="J1102" s="11">
        <v>45936</v>
      </c>
      <c r="K1102" t="s">
        <v>270</v>
      </c>
    </row>
    <row r="1103" spans="7:11" x14ac:dyDescent="0.3">
      <c r="G1103" t="s">
        <v>374</v>
      </c>
      <c r="H1103" s="1">
        <v>940</v>
      </c>
      <c r="I1103" s="1" t="s">
        <v>426</v>
      </c>
      <c r="J1103" s="11">
        <v>45936</v>
      </c>
      <c r="K1103" t="s">
        <v>270</v>
      </c>
    </row>
    <row r="1104" spans="7:11" x14ac:dyDescent="0.3">
      <c r="G1104" t="s">
        <v>361</v>
      </c>
      <c r="H1104" s="1">
        <v>480</v>
      </c>
      <c r="I1104" s="1" t="s">
        <v>426</v>
      </c>
      <c r="J1104" s="11">
        <v>45936</v>
      </c>
      <c r="K1104" t="s">
        <v>90</v>
      </c>
    </row>
    <row r="1105" spans="7:11" x14ac:dyDescent="0.3">
      <c r="G1105" t="s">
        <v>370</v>
      </c>
      <c r="H1105" s="1">
        <v>80</v>
      </c>
      <c r="I1105" s="1" t="s">
        <v>426</v>
      </c>
      <c r="J1105" s="11">
        <v>45936</v>
      </c>
      <c r="K1105" t="s">
        <v>90</v>
      </c>
    </row>
    <row r="1106" spans="7:11" x14ac:dyDescent="0.3">
      <c r="G1106" t="s">
        <v>420</v>
      </c>
      <c r="H1106" s="1">
        <v>1780</v>
      </c>
      <c r="I1106" s="1" t="s">
        <v>426</v>
      </c>
      <c r="J1106" s="11">
        <v>45937</v>
      </c>
      <c r="K1106" t="s">
        <v>95</v>
      </c>
    </row>
    <row r="1107" spans="7:11" x14ac:dyDescent="0.3">
      <c r="G1107" t="s">
        <v>243</v>
      </c>
      <c r="H1107" s="1">
        <v>130</v>
      </c>
      <c r="I1107" s="1" t="s">
        <v>426</v>
      </c>
      <c r="J1107" s="11">
        <v>45937</v>
      </c>
      <c r="K1107" t="s">
        <v>95</v>
      </c>
    </row>
    <row r="1108" spans="7:11" x14ac:dyDescent="0.3">
      <c r="G1108" t="s">
        <v>169</v>
      </c>
      <c r="H1108" s="1">
        <v>95</v>
      </c>
      <c r="I1108" s="1" t="s">
        <v>426</v>
      </c>
      <c r="J1108" s="11">
        <v>45937</v>
      </c>
      <c r="K1108" t="s">
        <v>96</v>
      </c>
    </row>
    <row r="1109" spans="7:11" x14ac:dyDescent="0.3">
      <c r="G1109" t="s">
        <v>438</v>
      </c>
      <c r="H1109" s="1">
        <v>200</v>
      </c>
      <c r="I1109" s="1" t="s">
        <v>426</v>
      </c>
      <c r="J1109" s="11">
        <v>45937</v>
      </c>
      <c r="K1109" t="s">
        <v>97</v>
      </c>
    </row>
    <row r="1110" spans="7:11" x14ac:dyDescent="0.3">
      <c r="G1110" t="s">
        <v>33</v>
      </c>
      <c r="H1110" s="1">
        <v>520</v>
      </c>
      <c r="I1110" s="1" t="s">
        <v>426</v>
      </c>
      <c r="J1110" s="11">
        <v>45937</v>
      </c>
      <c r="K1110" t="s">
        <v>97</v>
      </c>
    </row>
    <row r="1111" spans="7:11" x14ac:dyDescent="0.3">
      <c r="G1111" t="s">
        <v>372</v>
      </c>
      <c r="H1111" s="1">
        <v>530</v>
      </c>
      <c r="I1111" s="1" t="s">
        <v>426</v>
      </c>
      <c r="J1111" s="11">
        <v>45937</v>
      </c>
      <c r="K1111" t="s">
        <v>90</v>
      </c>
    </row>
    <row r="1112" spans="7:11" x14ac:dyDescent="0.3">
      <c r="G1112" t="s">
        <v>243</v>
      </c>
      <c r="H1112" s="1">
        <v>40</v>
      </c>
      <c r="I1112" s="1" t="s">
        <v>426</v>
      </c>
      <c r="J1112" s="11">
        <v>45938</v>
      </c>
      <c r="K1112" t="s">
        <v>95</v>
      </c>
    </row>
    <row r="1113" spans="7:11" x14ac:dyDescent="0.3">
      <c r="G1113" t="s">
        <v>149</v>
      </c>
      <c r="H1113" s="1">
        <v>10</v>
      </c>
      <c r="I1113" s="1" t="s">
        <v>426</v>
      </c>
      <c r="J1113" s="11">
        <v>45938</v>
      </c>
      <c r="K1113" t="s">
        <v>210</v>
      </c>
    </row>
    <row r="1114" spans="7:11" x14ac:dyDescent="0.3">
      <c r="G1114" t="s">
        <v>440</v>
      </c>
      <c r="H1114" s="1">
        <v>350</v>
      </c>
      <c r="I1114" s="1" t="s">
        <v>426</v>
      </c>
      <c r="J1114" s="11">
        <v>45938</v>
      </c>
      <c r="K1114" t="s">
        <v>97</v>
      </c>
    </row>
    <row r="1115" spans="7:11" x14ac:dyDescent="0.3">
      <c r="G1115" t="s">
        <v>439</v>
      </c>
      <c r="H1115" s="1">
        <v>300</v>
      </c>
      <c r="I1115" s="1" t="s">
        <v>426</v>
      </c>
      <c r="J1115" s="11">
        <v>45938</v>
      </c>
      <c r="K1115" t="s">
        <v>90</v>
      </c>
    </row>
    <row r="1116" spans="7:11" x14ac:dyDescent="0.3">
      <c r="G1116" t="s">
        <v>362</v>
      </c>
      <c r="H1116" s="1">
        <v>150</v>
      </c>
      <c r="I1116" s="1" t="s">
        <v>426</v>
      </c>
      <c r="J1116" s="11">
        <v>45938</v>
      </c>
      <c r="K1116" t="s">
        <v>90</v>
      </c>
    </row>
    <row r="1117" spans="7:11" x14ac:dyDescent="0.3">
      <c r="G1117" t="s">
        <v>353</v>
      </c>
      <c r="H1117" s="1">
        <v>1260</v>
      </c>
      <c r="I1117" s="1" t="s">
        <v>426</v>
      </c>
      <c r="J1117" s="11">
        <v>45938</v>
      </c>
      <c r="K1117" t="s">
        <v>90</v>
      </c>
    </row>
    <row r="1118" spans="7:11" x14ac:dyDescent="0.3">
      <c r="G1118" t="s">
        <v>370</v>
      </c>
      <c r="H1118" s="1">
        <v>80</v>
      </c>
      <c r="I1118" s="1" t="s">
        <v>426</v>
      </c>
      <c r="J1118" s="11">
        <v>45938</v>
      </c>
      <c r="K1118" t="s">
        <v>90</v>
      </c>
    </row>
    <row r="1119" spans="7:11" x14ac:dyDescent="0.3">
      <c r="G1119" t="s">
        <v>370</v>
      </c>
      <c r="H1119" s="1">
        <v>80</v>
      </c>
      <c r="I1119" s="1" t="s">
        <v>426</v>
      </c>
      <c r="J1119" s="11">
        <v>45938</v>
      </c>
      <c r="K1119" t="s">
        <v>90</v>
      </c>
    </row>
    <row r="1120" spans="7:11" x14ac:dyDescent="0.3">
      <c r="G1120" t="s">
        <v>354</v>
      </c>
      <c r="H1120" s="1">
        <v>520</v>
      </c>
      <c r="I1120" s="1" t="s">
        <v>426</v>
      </c>
      <c r="J1120" s="11">
        <v>45938</v>
      </c>
      <c r="K1120" t="s">
        <v>90</v>
      </c>
    </row>
    <row r="1121" spans="7:11" x14ac:dyDescent="0.3">
      <c r="G1121" t="s">
        <v>292</v>
      </c>
      <c r="H1121" s="1">
        <v>150</v>
      </c>
      <c r="I1121" s="1" t="s">
        <v>426</v>
      </c>
      <c r="J1121" s="11">
        <v>45938</v>
      </c>
      <c r="K1121" t="s">
        <v>61</v>
      </c>
    </row>
    <row r="1122" spans="7:11" x14ac:dyDescent="0.3">
      <c r="G1122" t="s">
        <v>441</v>
      </c>
      <c r="H1122" s="1">
        <v>860</v>
      </c>
      <c r="I1122" s="1" t="s">
        <v>426</v>
      </c>
      <c r="J1122" s="11">
        <v>45939</v>
      </c>
      <c r="K1122" t="s">
        <v>95</v>
      </c>
    </row>
    <row r="1123" spans="7:11" x14ac:dyDescent="0.3">
      <c r="G1123" t="s">
        <v>243</v>
      </c>
      <c r="H1123" s="1">
        <v>40</v>
      </c>
      <c r="I1123" s="1" t="s">
        <v>426</v>
      </c>
      <c r="J1123" s="11">
        <v>45939</v>
      </c>
      <c r="K1123" t="s">
        <v>95</v>
      </c>
    </row>
    <row r="1124" spans="7:11" x14ac:dyDescent="0.3">
      <c r="G1124" t="s">
        <v>243</v>
      </c>
      <c r="H1124" s="1">
        <v>430</v>
      </c>
      <c r="I1124" s="1" t="s">
        <v>426</v>
      </c>
      <c r="J1124" s="11">
        <v>45939</v>
      </c>
      <c r="K1124" t="s">
        <v>95</v>
      </c>
    </row>
    <row r="1125" spans="7:11" x14ac:dyDescent="0.3">
      <c r="G1125" t="s">
        <v>440</v>
      </c>
      <c r="H1125" s="1">
        <v>300</v>
      </c>
      <c r="I1125" s="1" t="s">
        <v>426</v>
      </c>
      <c r="J1125" s="11">
        <v>45939</v>
      </c>
      <c r="K1125" t="s">
        <v>97</v>
      </c>
    </row>
    <row r="1126" spans="7:11" x14ac:dyDescent="0.3">
      <c r="G1126" t="s">
        <v>414</v>
      </c>
      <c r="H1126" s="1">
        <v>945</v>
      </c>
      <c r="I1126" s="1" t="s">
        <v>426</v>
      </c>
      <c r="J1126" s="11">
        <v>45939</v>
      </c>
      <c r="K1126" t="s">
        <v>90</v>
      </c>
    </row>
    <row r="1127" spans="7:11" x14ac:dyDescent="0.3">
      <c r="G1127" t="s">
        <v>336</v>
      </c>
      <c r="H1127" s="1">
        <v>120</v>
      </c>
      <c r="I1127" s="1" t="s">
        <v>426</v>
      </c>
      <c r="J1127" s="11">
        <v>45939</v>
      </c>
      <c r="K1127" t="s">
        <v>90</v>
      </c>
    </row>
    <row r="1128" spans="7:11" x14ac:dyDescent="0.3">
      <c r="G1128" t="s">
        <v>357</v>
      </c>
      <c r="H1128" s="1">
        <v>660</v>
      </c>
      <c r="I1128" s="1" t="s">
        <v>426</v>
      </c>
      <c r="J1128" s="11">
        <v>45939</v>
      </c>
      <c r="K1128" t="s">
        <v>90</v>
      </c>
    </row>
    <row r="1129" spans="7:11" x14ac:dyDescent="0.3">
      <c r="G1129" t="s">
        <v>433</v>
      </c>
      <c r="H1129" s="1">
        <v>480</v>
      </c>
      <c r="I1129" s="1" t="s">
        <v>426</v>
      </c>
      <c r="J1129" s="11">
        <v>45939</v>
      </c>
      <c r="K1129" t="s">
        <v>275</v>
      </c>
    </row>
    <row r="1130" spans="7:11" x14ac:dyDescent="0.3">
      <c r="G1130" t="s">
        <v>70</v>
      </c>
      <c r="H1130" s="1">
        <v>200</v>
      </c>
      <c r="I1130" s="1" t="s">
        <v>426</v>
      </c>
      <c r="J1130" s="11">
        <v>45939</v>
      </c>
      <c r="K1130" t="s">
        <v>275</v>
      </c>
    </row>
    <row r="1131" spans="7:11" x14ac:dyDescent="0.3">
      <c r="G1131" t="s">
        <v>443</v>
      </c>
      <c r="H1131" s="1">
        <v>160</v>
      </c>
      <c r="I1131" s="1" t="s">
        <v>426</v>
      </c>
      <c r="J1131" s="11">
        <v>45940</v>
      </c>
      <c r="K1131" t="s">
        <v>95</v>
      </c>
    </row>
    <row r="1132" spans="7:11" x14ac:dyDescent="0.3">
      <c r="G1132" t="s">
        <v>149</v>
      </c>
      <c r="H1132" s="1">
        <v>45</v>
      </c>
      <c r="I1132" s="1" t="s">
        <v>426</v>
      </c>
      <c r="J1132" s="11">
        <v>45940</v>
      </c>
      <c r="K1132" t="s">
        <v>210</v>
      </c>
    </row>
    <row r="1133" spans="7:11" x14ac:dyDescent="0.3">
      <c r="G1133" t="s">
        <v>60</v>
      </c>
      <c r="H1133" s="1">
        <v>20</v>
      </c>
      <c r="I1133" s="1" t="s">
        <v>426</v>
      </c>
      <c r="J1133" s="11">
        <v>45940</v>
      </c>
      <c r="K1133" t="s">
        <v>96</v>
      </c>
    </row>
    <row r="1134" spans="7:11" x14ac:dyDescent="0.3">
      <c r="G1134" t="s">
        <v>35</v>
      </c>
      <c r="H1134" s="1">
        <v>140</v>
      </c>
      <c r="I1134" s="1" t="s">
        <v>426</v>
      </c>
      <c r="J1134" s="11">
        <v>45940</v>
      </c>
      <c r="K1134" t="s">
        <v>96</v>
      </c>
    </row>
    <row r="1135" spans="7:11" x14ac:dyDescent="0.3">
      <c r="G1135" t="s">
        <v>444</v>
      </c>
      <c r="H1135" s="1">
        <v>55</v>
      </c>
      <c r="I1135" s="1" t="s">
        <v>426</v>
      </c>
      <c r="J1135" s="11">
        <v>45940</v>
      </c>
      <c r="K1135" t="s">
        <v>97</v>
      </c>
    </row>
    <row r="1136" spans="7:11" x14ac:dyDescent="0.3">
      <c r="G1136" t="s">
        <v>445</v>
      </c>
      <c r="H1136" s="1">
        <v>21.5</v>
      </c>
      <c r="I1136" s="1" t="s">
        <v>426</v>
      </c>
      <c r="J1136" s="11">
        <v>45940</v>
      </c>
      <c r="K1136" t="s">
        <v>97</v>
      </c>
    </row>
    <row r="1137" spans="7:11" x14ac:dyDescent="0.3">
      <c r="G1137" t="s">
        <v>442</v>
      </c>
      <c r="H1137" s="1">
        <v>200</v>
      </c>
      <c r="I1137" s="1" t="s">
        <v>426</v>
      </c>
      <c r="J1137" s="11">
        <v>45940</v>
      </c>
      <c r="K1137" t="s">
        <v>97</v>
      </c>
    </row>
    <row r="1138" spans="7:11" x14ac:dyDescent="0.3">
      <c r="G1138" t="s">
        <v>33</v>
      </c>
      <c r="H1138" s="1">
        <v>900</v>
      </c>
      <c r="I1138" s="1" t="s">
        <v>426</v>
      </c>
      <c r="J1138" s="11">
        <v>45940</v>
      </c>
      <c r="K1138" t="s">
        <v>97</v>
      </c>
    </row>
    <row r="1139" spans="7:11" x14ac:dyDescent="0.3">
      <c r="G1139" t="s">
        <v>420</v>
      </c>
      <c r="H1139" s="1">
        <v>522</v>
      </c>
      <c r="I1139" s="1" t="s">
        <v>426</v>
      </c>
      <c r="J1139" s="11">
        <v>45940</v>
      </c>
      <c r="K1139" t="s">
        <v>90</v>
      </c>
    </row>
    <row r="1140" spans="7:11" x14ac:dyDescent="0.3">
      <c r="G1140" t="s">
        <v>370</v>
      </c>
      <c r="H1140" s="1">
        <v>420</v>
      </c>
      <c r="I1140" s="1" t="s">
        <v>426</v>
      </c>
      <c r="J1140" s="11">
        <v>45940</v>
      </c>
      <c r="K1140" t="s">
        <v>90</v>
      </c>
    </row>
    <row r="1141" spans="7:11" x14ac:dyDescent="0.3">
      <c r="G1141" t="s">
        <v>446</v>
      </c>
      <c r="H1141" s="1">
        <v>1240</v>
      </c>
      <c r="I1141" s="1" t="s">
        <v>426</v>
      </c>
      <c r="J1141" s="11">
        <v>45940</v>
      </c>
      <c r="K1141" t="s">
        <v>90</v>
      </c>
    </row>
    <row r="1142" spans="7:11" x14ac:dyDescent="0.3">
      <c r="G1142" t="s">
        <v>446</v>
      </c>
      <c r="H1142" s="1">
        <v>63</v>
      </c>
      <c r="I1142" s="1" t="s">
        <v>426</v>
      </c>
      <c r="J1142" s="11">
        <v>45940</v>
      </c>
      <c r="K1142" t="s">
        <v>90</v>
      </c>
    </row>
    <row r="1143" spans="7:11" x14ac:dyDescent="0.3">
      <c r="G1143" t="s">
        <v>447</v>
      </c>
      <c r="H1143" s="1">
        <v>6</v>
      </c>
      <c r="I1143" s="1" t="s">
        <v>426</v>
      </c>
      <c r="J1143" s="11">
        <v>45940</v>
      </c>
      <c r="K1143" t="s">
        <v>275</v>
      </c>
    </row>
    <row r="1144" spans="7:11" x14ac:dyDescent="0.3">
      <c r="G1144" t="s">
        <v>478</v>
      </c>
      <c r="H1144" s="1">
        <v>1036.52</v>
      </c>
      <c r="I1144" s="1" t="s">
        <v>426</v>
      </c>
      <c r="J1144" s="11">
        <v>45940</v>
      </c>
      <c r="K1144" t="s">
        <v>477</v>
      </c>
    </row>
    <row r="1145" spans="7:11" x14ac:dyDescent="0.3">
      <c r="G1145" t="s">
        <v>149</v>
      </c>
      <c r="H1145" s="1">
        <v>54</v>
      </c>
      <c r="I1145" s="1" t="s">
        <v>426</v>
      </c>
      <c r="J1145" s="11">
        <v>45941</v>
      </c>
      <c r="K1145" t="s">
        <v>210</v>
      </c>
    </row>
    <row r="1146" spans="7:11" x14ac:dyDescent="0.3">
      <c r="G1146" t="s">
        <v>76</v>
      </c>
      <c r="H1146" s="1">
        <v>70</v>
      </c>
      <c r="I1146" s="1" t="s">
        <v>426</v>
      </c>
      <c r="J1146" s="11">
        <v>45941</v>
      </c>
      <c r="K1146" t="s">
        <v>96</v>
      </c>
    </row>
    <row r="1147" spans="7:11" x14ac:dyDescent="0.3">
      <c r="G1147" t="s">
        <v>448</v>
      </c>
      <c r="H1147" s="1">
        <v>580</v>
      </c>
      <c r="I1147" s="1" t="s">
        <v>426</v>
      </c>
      <c r="J1147" s="11">
        <v>45941</v>
      </c>
      <c r="K1147" t="s">
        <v>405</v>
      </c>
    </row>
    <row r="1148" spans="7:11" x14ac:dyDescent="0.3">
      <c r="G1148" t="s">
        <v>451</v>
      </c>
      <c r="H1148" s="1">
        <v>400</v>
      </c>
      <c r="I1148" s="1" t="s">
        <v>426</v>
      </c>
      <c r="J1148" s="11">
        <v>45941</v>
      </c>
      <c r="K1148" t="s">
        <v>97</v>
      </c>
    </row>
    <row r="1149" spans="7:11" x14ac:dyDescent="0.3">
      <c r="G1149" t="s">
        <v>450</v>
      </c>
      <c r="H1149" s="1">
        <v>200</v>
      </c>
      <c r="I1149" s="1" t="s">
        <v>426</v>
      </c>
      <c r="J1149" s="11">
        <v>45941</v>
      </c>
      <c r="K1149" t="s">
        <v>97</v>
      </c>
    </row>
    <row r="1150" spans="7:11" x14ac:dyDescent="0.3">
      <c r="G1150" t="s">
        <v>449</v>
      </c>
      <c r="H1150" s="1">
        <v>240</v>
      </c>
      <c r="I1150" s="1" t="s">
        <v>426</v>
      </c>
      <c r="J1150" s="11">
        <v>45941</v>
      </c>
      <c r="K1150" t="s">
        <v>97</v>
      </c>
    </row>
    <row r="1151" spans="7:11" x14ac:dyDescent="0.3">
      <c r="G1151" t="s">
        <v>272</v>
      </c>
      <c r="H1151" s="1">
        <v>400</v>
      </c>
      <c r="I1151" s="1" t="s">
        <v>426</v>
      </c>
      <c r="J1151" s="11">
        <v>45941</v>
      </c>
      <c r="K1151" t="s">
        <v>97</v>
      </c>
    </row>
    <row r="1152" spans="7:11" x14ac:dyDescent="0.3">
      <c r="G1152" t="s">
        <v>446</v>
      </c>
      <c r="H1152" s="1">
        <v>883</v>
      </c>
      <c r="I1152" s="1" t="s">
        <v>426</v>
      </c>
      <c r="J1152" s="11">
        <v>45941</v>
      </c>
      <c r="K1152" t="s">
        <v>270</v>
      </c>
    </row>
    <row r="1153" spans="7:11" x14ac:dyDescent="0.3">
      <c r="G1153" t="s">
        <v>349</v>
      </c>
      <c r="H1153" s="1">
        <v>1620</v>
      </c>
      <c r="I1153" s="1" t="s">
        <v>426</v>
      </c>
      <c r="J1153" s="11">
        <v>45941</v>
      </c>
      <c r="K1153" t="s">
        <v>270</v>
      </c>
    </row>
    <row r="1154" spans="7:11" x14ac:dyDescent="0.3">
      <c r="G1154" t="s">
        <v>201</v>
      </c>
      <c r="H1154" s="1">
        <v>20</v>
      </c>
      <c r="I1154" s="1" t="s">
        <v>426</v>
      </c>
      <c r="J1154" s="11">
        <v>45941</v>
      </c>
      <c r="K1154" t="s">
        <v>275</v>
      </c>
    </row>
    <row r="1155" spans="7:11" x14ac:dyDescent="0.3">
      <c r="G1155" t="s">
        <v>251</v>
      </c>
      <c r="H1155" s="1">
        <v>30</v>
      </c>
      <c r="I1155" s="1" t="s">
        <v>426</v>
      </c>
      <c r="J1155" s="11">
        <v>45941</v>
      </c>
      <c r="K1155" t="s">
        <v>275</v>
      </c>
    </row>
    <row r="1156" spans="7:11" x14ac:dyDescent="0.3">
      <c r="G1156" t="s">
        <v>251</v>
      </c>
      <c r="H1156" s="1">
        <v>30</v>
      </c>
      <c r="I1156" s="1" t="s">
        <v>426</v>
      </c>
      <c r="J1156" s="11">
        <v>45941</v>
      </c>
      <c r="K1156" t="s">
        <v>275</v>
      </c>
    </row>
    <row r="1157" spans="7:11" x14ac:dyDescent="0.3">
      <c r="G1157" t="s">
        <v>322</v>
      </c>
      <c r="H1157" s="1">
        <v>350</v>
      </c>
      <c r="I1157" s="1" t="s">
        <v>426</v>
      </c>
      <c r="J1157" s="11">
        <v>45943</v>
      </c>
      <c r="K1157" t="s">
        <v>205</v>
      </c>
    </row>
    <row r="1158" spans="7:11" x14ac:dyDescent="0.3">
      <c r="G1158" t="s">
        <v>298</v>
      </c>
      <c r="H1158" s="1">
        <v>6000</v>
      </c>
      <c r="I1158" s="1" t="s">
        <v>426</v>
      </c>
      <c r="J1158" s="11">
        <v>45943</v>
      </c>
      <c r="K1158" t="s">
        <v>351</v>
      </c>
    </row>
    <row r="1159" spans="7:11" x14ac:dyDescent="0.3">
      <c r="G1159" t="s">
        <v>229</v>
      </c>
      <c r="H1159" s="1">
        <v>500</v>
      </c>
      <c r="I1159" s="1" t="s">
        <v>426</v>
      </c>
      <c r="J1159" s="11">
        <v>45944</v>
      </c>
      <c r="K1159" t="s">
        <v>95</v>
      </c>
    </row>
    <row r="1160" spans="7:11" x14ac:dyDescent="0.3">
      <c r="G1160" t="s">
        <v>417</v>
      </c>
      <c r="H1160" s="1">
        <v>1905</v>
      </c>
      <c r="I1160" s="1" t="s">
        <v>426</v>
      </c>
      <c r="J1160" s="11">
        <v>45944</v>
      </c>
      <c r="K1160" t="s">
        <v>95</v>
      </c>
    </row>
    <row r="1161" spans="7:11" x14ac:dyDescent="0.3">
      <c r="G1161" t="s">
        <v>243</v>
      </c>
      <c r="H1161" s="1">
        <v>430</v>
      </c>
      <c r="I1161" s="1" t="s">
        <v>426</v>
      </c>
      <c r="J1161" s="11">
        <v>45944</v>
      </c>
      <c r="K1161" t="s">
        <v>95</v>
      </c>
    </row>
    <row r="1162" spans="7:11" x14ac:dyDescent="0.3">
      <c r="G1162" t="s">
        <v>396</v>
      </c>
      <c r="H1162" s="1">
        <v>100</v>
      </c>
      <c r="I1162" s="1" t="s">
        <v>426</v>
      </c>
      <c r="J1162" s="11">
        <v>45944</v>
      </c>
      <c r="K1162" t="s">
        <v>96</v>
      </c>
    </row>
    <row r="1163" spans="7:11" x14ac:dyDescent="0.3">
      <c r="G1163" t="s">
        <v>446</v>
      </c>
      <c r="H1163" s="1">
        <v>1039</v>
      </c>
      <c r="I1163" s="1" t="s">
        <v>426</v>
      </c>
      <c r="J1163" s="11">
        <v>45944</v>
      </c>
      <c r="K1163" t="s">
        <v>270</v>
      </c>
    </row>
    <row r="1164" spans="7:11" x14ac:dyDescent="0.3">
      <c r="G1164" t="s">
        <v>362</v>
      </c>
      <c r="H1164" s="1">
        <v>1050</v>
      </c>
      <c r="I1164" s="1" t="s">
        <v>426</v>
      </c>
      <c r="J1164" s="11">
        <v>45944</v>
      </c>
      <c r="K1164" t="s">
        <v>270</v>
      </c>
    </row>
    <row r="1165" spans="7:11" x14ac:dyDescent="0.3">
      <c r="G1165" t="s">
        <v>420</v>
      </c>
      <c r="H1165" s="1">
        <v>1341</v>
      </c>
      <c r="I1165" s="1" t="s">
        <v>426</v>
      </c>
      <c r="J1165" s="11">
        <v>45944</v>
      </c>
      <c r="K1165" t="s">
        <v>270</v>
      </c>
    </row>
    <row r="1166" spans="7:11" x14ac:dyDescent="0.3">
      <c r="G1166" t="s">
        <v>370</v>
      </c>
      <c r="H1166" s="1">
        <v>40</v>
      </c>
      <c r="I1166" s="1" t="s">
        <v>426</v>
      </c>
      <c r="J1166" s="11">
        <v>45944</v>
      </c>
      <c r="K1166" t="s">
        <v>270</v>
      </c>
    </row>
    <row r="1167" spans="7:11" x14ac:dyDescent="0.3">
      <c r="G1167" t="s">
        <v>452</v>
      </c>
      <c r="H1167" s="1">
        <v>170</v>
      </c>
      <c r="I1167" s="1" t="s">
        <v>426</v>
      </c>
      <c r="J1167" s="11">
        <v>45944</v>
      </c>
      <c r="K1167" t="s">
        <v>275</v>
      </c>
    </row>
    <row r="1168" spans="7:11" x14ac:dyDescent="0.3">
      <c r="G1168" t="s">
        <v>435</v>
      </c>
      <c r="H1168" s="1">
        <v>500</v>
      </c>
      <c r="I1168" s="1" t="s">
        <v>426</v>
      </c>
      <c r="J1168" s="11">
        <v>45944</v>
      </c>
      <c r="K1168" t="s">
        <v>275</v>
      </c>
    </row>
    <row r="1169" spans="7:11" x14ac:dyDescent="0.3">
      <c r="G1169" t="s">
        <v>251</v>
      </c>
      <c r="H1169" s="1">
        <v>35</v>
      </c>
      <c r="I1169" s="1" t="s">
        <v>426</v>
      </c>
      <c r="J1169" s="11">
        <v>45944</v>
      </c>
      <c r="K1169" t="s">
        <v>275</v>
      </c>
    </row>
    <row r="1170" spans="7:11" x14ac:dyDescent="0.3">
      <c r="G1170" t="s">
        <v>225</v>
      </c>
      <c r="H1170" s="1">
        <v>1500</v>
      </c>
      <c r="I1170" s="1" t="s">
        <v>426</v>
      </c>
      <c r="J1170" s="11">
        <v>45944</v>
      </c>
      <c r="K1170" t="s">
        <v>61</v>
      </c>
    </row>
    <row r="1171" spans="7:11" x14ac:dyDescent="0.3">
      <c r="G1171" t="s">
        <v>453</v>
      </c>
      <c r="H1171" s="1">
        <v>1950</v>
      </c>
      <c r="I1171" s="1" t="s">
        <v>426</v>
      </c>
      <c r="J1171" s="11">
        <v>45944</v>
      </c>
      <c r="K1171" t="s">
        <v>95</v>
      </c>
    </row>
    <row r="1172" spans="7:11" x14ac:dyDescent="0.3">
      <c r="G1172" t="s">
        <v>149</v>
      </c>
      <c r="H1172" s="1">
        <v>45</v>
      </c>
      <c r="I1172" s="1" t="s">
        <v>426</v>
      </c>
      <c r="J1172" s="11">
        <v>45945</v>
      </c>
      <c r="K1172" t="s">
        <v>210</v>
      </c>
    </row>
    <row r="1173" spans="7:11" x14ac:dyDescent="0.3">
      <c r="G1173" t="s">
        <v>60</v>
      </c>
      <c r="H1173" s="1">
        <v>20</v>
      </c>
      <c r="I1173" s="1" t="s">
        <v>426</v>
      </c>
      <c r="J1173" s="11">
        <v>45945</v>
      </c>
      <c r="K1173" t="s">
        <v>96</v>
      </c>
    </row>
    <row r="1174" spans="7:11" x14ac:dyDescent="0.3">
      <c r="G1174" t="s">
        <v>337</v>
      </c>
      <c r="H1174" s="1">
        <v>250</v>
      </c>
      <c r="I1174" s="1" t="s">
        <v>426</v>
      </c>
      <c r="J1174" s="11">
        <v>45945</v>
      </c>
      <c r="K1174" t="s">
        <v>270</v>
      </c>
    </row>
    <row r="1175" spans="7:11" x14ac:dyDescent="0.3">
      <c r="G1175" t="s">
        <v>420</v>
      </c>
      <c r="H1175" s="1">
        <v>841</v>
      </c>
      <c r="I1175" s="1" t="s">
        <v>426</v>
      </c>
      <c r="J1175" s="11">
        <v>45945</v>
      </c>
      <c r="K1175" t="s">
        <v>270</v>
      </c>
    </row>
    <row r="1176" spans="7:11" x14ac:dyDescent="0.3">
      <c r="G1176" t="s">
        <v>454</v>
      </c>
      <c r="H1176" s="1">
        <v>450</v>
      </c>
      <c r="I1176" s="1" t="s">
        <v>426</v>
      </c>
      <c r="J1176" s="11">
        <v>45945</v>
      </c>
      <c r="K1176" t="s">
        <v>270</v>
      </c>
    </row>
    <row r="1177" spans="7:11" x14ac:dyDescent="0.3">
      <c r="G1177" t="s">
        <v>353</v>
      </c>
      <c r="H1177" s="1">
        <v>1260</v>
      </c>
      <c r="I1177" s="1" t="s">
        <v>426</v>
      </c>
      <c r="J1177" s="11">
        <v>45945</v>
      </c>
      <c r="K1177" t="s">
        <v>270</v>
      </c>
    </row>
    <row r="1178" spans="7:11" x14ac:dyDescent="0.3">
      <c r="G1178" t="s">
        <v>20</v>
      </c>
      <c r="H1178" s="1">
        <v>98</v>
      </c>
      <c r="I1178" s="1" t="s">
        <v>426</v>
      </c>
      <c r="J1178" s="11">
        <v>45945</v>
      </c>
      <c r="K1178" t="s">
        <v>275</v>
      </c>
    </row>
    <row r="1179" spans="7:11" x14ac:dyDescent="0.3">
      <c r="G1179" t="s">
        <v>455</v>
      </c>
      <c r="H1179" s="1">
        <v>200</v>
      </c>
      <c r="I1179" s="1" t="s">
        <v>426</v>
      </c>
      <c r="J1179" s="11">
        <v>45945</v>
      </c>
      <c r="K1179" t="s">
        <v>411</v>
      </c>
    </row>
    <row r="1180" spans="7:11" x14ac:dyDescent="0.3">
      <c r="G1180" t="s">
        <v>49</v>
      </c>
      <c r="H1180" s="1">
        <v>815</v>
      </c>
      <c r="I1180" s="1" t="s">
        <v>426</v>
      </c>
      <c r="J1180" s="11">
        <v>45945</v>
      </c>
      <c r="K1180" t="s">
        <v>95</v>
      </c>
    </row>
    <row r="1181" spans="7:11" x14ac:dyDescent="0.3">
      <c r="G1181" t="s">
        <v>229</v>
      </c>
      <c r="H1181" s="1">
        <v>280</v>
      </c>
      <c r="I1181" s="1" t="s">
        <v>426</v>
      </c>
      <c r="J1181" s="11">
        <v>45946</v>
      </c>
      <c r="K1181" t="s">
        <v>95</v>
      </c>
    </row>
    <row r="1182" spans="7:11" x14ac:dyDescent="0.3">
      <c r="G1182" t="s">
        <v>243</v>
      </c>
      <c r="H1182" s="1">
        <v>130</v>
      </c>
      <c r="I1182" s="1" t="s">
        <v>426</v>
      </c>
      <c r="J1182" s="11">
        <v>45946</v>
      </c>
      <c r="K1182" t="s">
        <v>95</v>
      </c>
    </row>
    <row r="1183" spans="7:11" x14ac:dyDescent="0.3">
      <c r="G1183" t="s">
        <v>243</v>
      </c>
      <c r="H1183" s="1">
        <v>430</v>
      </c>
      <c r="I1183" s="1" t="s">
        <v>426</v>
      </c>
      <c r="J1183" s="11">
        <v>45946</v>
      </c>
      <c r="K1183" t="s">
        <v>95</v>
      </c>
    </row>
    <row r="1184" spans="7:11" x14ac:dyDescent="0.3">
      <c r="G1184" t="s">
        <v>35</v>
      </c>
      <c r="H1184" s="1">
        <v>70</v>
      </c>
      <c r="I1184" s="1" t="s">
        <v>426</v>
      </c>
      <c r="J1184" s="11">
        <v>45946</v>
      </c>
      <c r="K1184" t="s">
        <v>96</v>
      </c>
    </row>
    <row r="1185" spans="7:11" x14ac:dyDescent="0.3">
      <c r="G1185" t="s">
        <v>228</v>
      </c>
      <c r="H1185" s="1">
        <v>9379.07</v>
      </c>
      <c r="I1185" s="1" t="s">
        <v>426</v>
      </c>
      <c r="J1185" s="11">
        <v>45946</v>
      </c>
      <c r="K1185" t="s">
        <v>94</v>
      </c>
    </row>
    <row r="1186" spans="7:11" x14ac:dyDescent="0.3">
      <c r="G1186" t="s">
        <v>357</v>
      </c>
      <c r="H1186" s="1">
        <v>600</v>
      </c>
      <c r="I1186" s="1" t="s">
        <v>426</v>
      </c>
      <c r="J1186" s="11">
        <v>45946</v>
      </c>
      <c r="K1186" t="s">
        <v>270</v>
      </c>
    </row>
    <row r="1187" spans="7:11" x14ac:dyDescent="0.3">
      <c r="G1187" t="s">
        <v>243</v>
      </c>
      <c r="H1187" s="1">
        <v>40</v>
      </c>
      <c r="I1187" s="1" t="s">
        <v>426</v>
      </c>
      <c r="J1187" s="11">
        <v>45947</v>
      </c>
      <c r="K1187" t="s">
        <v>95</v>
      </c>
    </row>
    <row r="1188" spans="7:11" x14ac:dyDescent="0.3">
      <c r="G1188" t="s">
        <v>243</v>
      </c>
      <c r="H1188" s="1">
        <v>460</v>
      </c>
      <c r="I1188" s="1" t="s">
        <v>426</v>
      </c>
      <c r="J1188" s="11">
        <v>45947</v>
      </c>
      <c r="K1188" t="s">
        <v>95</v>
      </c>
    </row>
    <row r="1189" spans="7:11" x14ac:dyDescent="0.3">
      <c r="G1189" t="s">
        <v>33</v>
      </c>
      <c r="H1189" s="1">
        <v>900</v>
      </c>
      <c r="I1189" s="1" t="s">
        <v>426</v>
      </c>
      <c r="J1189" s="11">
        <v>45947</v>
      </c>
      <c r="K1189" t="s">
        <v>97</v>
      </c>
    </row>
    <row r="1190" spans="7:11" x14ac:dyDescent="0.3">
      <c r="G1190" t="s">
        <v>362</v>
      </c>
      <c r="H1190" s="1">
        <v>350</v>
      </c>
      <c r="I1190" s="1" t="s">
        <v>426</v>
      </c>
      <c r="J1190" s="11">
        <v>45947</v>
      </c>
      <c r="K1190" t="s">
        <v>90</v>
      </c>
    </row>
    <row r="1191" spans="7:11" x14ac:dyDescent="0.3">
      <c r="G1191" t="s">
        <v>370</v>
      </c>
      <c r="H1191" s="1">
        <v>80</v>
      </c>
      <c r="I1191" s="1" t="s">
        <v>426</v>
      </c>
      <c r="J1191" s="11">
        <v>45947</v>
      </c>
      <c r="K1191" t="s">
        <v>90</v>
      </c>
    </row>
    <row r="1192" spans="7:11" x14ac:dyDescent="0.3">
      <c r="G1192" t="s">
        <v>446</v>
      </c>
      <c r="H1192" s="1">
        <v>1110</v>
      </c>
      <c r="I1192" s="1" t="s">
        <v>426</v>
      </c>
      <c r="J1192" s="11">
        <v>45947</v>
      </c>
      <c r="K1192" t="s">
        <v>90</v>
      </c>
    </row>
    <row r="1193" spans="7:11" x14ac:dyDescent="0.3">
      <c r="G1193" t="s">
        <v>456</v>
      </c>
      <c r="H1193" s="1">
        <v>540</v>
      </c>
      <c r="I1193" s="1" t="s">
        <v>426</v>
      </c>
      <c r="J1193" s="11">
        <v>45947</v>
      </c>
      <c r="K1193" t="s">
        <v>90</v>
      </c>
    </row>
    <row r="1194" spans="7:11" x14ac:dyDescent="0.3">
      <c r="G1194" t="s">
        <v>280</v>
      </c>
      <c r="H1194" s="1">
        <v>235</v>
      </c>
      <c r="I1194" s="1" t="s">
        <v>426</v>
      </c>
      <c r="J1194" s="11">
        <v>45947</v>
      </c>
      <c r="K1194" t="s">
        <v>275</v>
      </c>
    </row>
    <row r="1195" spans="7:11" x14ac:dyDescent="0.3">
      <c r="G1195" t="s">
        <v>229</v>
      </c>
      <c r="H1195" s="1">
        <v>290</v>
      </c>
      <c r="I1195" s="1" t="s">
        <v>426</v>
      </c>
      <c r="J1195" s="11">
        <v>45948</v>
      </c>
      <c r="K1195" t="s">
        <v>95</v>
      </c>
    </row>
    <row r="1196" spans="7:11" x14ac:dyDescent="0.3">
      <c r="G1196" t="s">
        <v>322</v>
      </c>
      <c r="H1196" s="1">
        <v>170</v>
      </c>
      <c r="I1196" s="1" t="s">
        <v>426</v>
      </c>
      <c r="J1196" s="11">
        <v>45948</v>
      </c>
      <c r="K1196" t="s">
        <v>205</v>
      </c>
    </row>
    <row r="1197" spans="7:11" x14ac:dyDescent="0.3">
      <c r="G1197" t="s">
        <v>391</v>
      </c>
      <c r="H1197" s="1">
        <v>110</v>
      </c>
      <c r="I1197" s="1" t="s">
        <v>426</v>
      </c>
      <c r="J1197" s="11">
        <v>45948</v>
      </c>
      <c r="K1197" t="s">
        <v>96</v>
      </c>
    </row>
    <row r="1198" spans="7:11" x14ac:dyDescent="0.3">
      <c r="G1198" t="s">
        <v>340</v>
      </c>
      <c r="H1198" s="1">
        <v>600</v>
      </c>
      <c r="I1198" s="1" t="s">
        <v>426</v>
      </c>
      <c r="J1198" s="11">
        <v>45948</v>
      </c>
      <c r="K1198" t="s">
        <v>90</v>
      </c>
    </row>
    <row r="1199" spans="7:11" x14ac:dyDescent="0.3">
      <c r="G1199" t="s">
        <v>414</v>
      </c>
      <c r="H1199" s="1">
        <v>950</v>
      </c>
      <c r="I1199" s="1" t="s">
        <v>426</v>
      </c>
      <c r="J1199" s="11">
        <v>45948</v>
      </c>
      <c r="K1199" t="s">
        <v>90</v>
      </c>
    </row>
    <row r="1200" spans="7:11" x14ac:dyDescent="0.3">
      <c r="G1200" t="s">
        <v>313</v>
      </c>
      <c r="H1200" s="1">
        <v>100</v>
      </c>
      <c r="I1200" s="1" t="s">
        <v>426</v>
      </c>
      <c r="J1200" s="11">
        <v>45948</v>
      </c>
      <c r="K1200" t="s">
        <v>275</v>
      </c>
    </row>
    <row r="1201" spans="7:11" x14ac:dyDescent="0.3">
      <c r="G1201" t="s">
        <v>457</v>
      </c>
      <c r="H1201" s="1">
        <v>200</v>
      </c>
      <c r="I1201" s="1" t="s">
        <v>426</v>
      </c>
      <c r="J1201" s="11">
        <v>45948</v>
      </c>
      <c r="K1201" t="s">
        <v>275</v>
      </c>
    </row>
    <row r="1202" spans="7:11" x14ac:dyDescent="0.3">
      <c r="G1202" t="s">
        <v>229</v>
      </c>
      <c r="H1202" s="1">
        <v>560</v>
      </c>
      <c r="I1202" s="1" t="s">
        <v>426</v>
      </c>
      <c r="J1202" s="11">
        <v>45950</v>
      </c>
      <c r="K1202" t="s">
        <v>95</v>
      </c>
    </row>
    <row r="1203" spans="7:11" x14ac:dyDescent="0.3">
      <c r="G1203" t="s">
        <v>243</v>
      </c>
      <c r="H1203" s="1">
        <v>170</v>
      </c>
      <c r="I1203" s="1" t="s">
        <v>426</v>
      </c>
      <c r="J1203" s="11">
        <v>45950</v>
      </c>
      <c r="K1203" t="s">
        <v>95</v>
      </c>
    </row>
    <row r="1204" spans="7:11" x14ac:dyDescent="0.3">
      <c r="G1204" t="s">
        <v>149</v>
      </c>
      <c r="H1204" s="1">
        <v>125</v>
      </c>
      <c r="I1204" s="1" t="s">
        <v>426</v>
      </c>
      <c r="J1204" s="11">
        <v>45950</v>
      </c>
      <c r="K1204" t="s">
        <v>210</v>
      </c>
    </row>
    <row r="1205" spans="7:11" x14ac:dyDescent="0.3">
      <c r="G1205" t="s">
        <v>458</v>
      </c>
      <c r="H1205" s="1">
        <v>189</v>
      </c>
      <c r="I1205" s="1" t="s">
        <v>426</v>
      </c>
      <c r="J1205" s="11">
        <v>45950</v>
      </c>
      <c r="K1205" t="s">
        <v>97</v>
      </c>
    </row>
    <row r="1206" spans="7:11" x14ac:dyDescent="0.3">
      <c r="G1206" t="s">
        <v>32</v>
      </c>
      <c r="H1206" s="1">
        <v>35</v>
      </c>
      <c r="I1206" s="1" t="s">
        <v>426</v>
      </c>
      <c r="J1206" s="11">
        <v>45950</v>
      </c>
      <c r="K1206" t="s">
        <v>97</v>
      </c>
    </row>
    <row r="1207" spans="7:11" x14ac:dyDescent="0.3">
      <c r="G1207" t="s">
        <v>361</v>
      </c>
      <c r="H1207" s="1">
        <v>915</v>
      </c>
      <c r="I1207" s="1" t="s">
        <v>426</v>
      </c>
      <c r="J1207" s="11">
        <v>45950</v>
      </c>
      <c r="K1207" t="s">
        <v>90</v>
      </c>
    </row>
    <row r="1208" spans="7:11" x14ac:dyDescent="0.3">
      <c r="G1208" t="s">
        <v>149</v>
      </c>
      <c r="H1208" s="1">
        <v>61</v>
      </c>
      <c r="I1208" s="1" t="s">
        <v>426</v>
      </c>
      <c r="J1208" s="11">
        <v>45951</v>
      </c>
      <c r="K1208" t="s">
        <v>210</v>
      </c>
    </row>
    <row r="1209" spans="7:11" x14ac:dyDescent="0.3">
      <c r="G1209" t="s">
        <v>149</v>
      </c>
      <c r="H1209" s="1">
        <v>980</v>
      </c>
      <c r="I1209" s="1" t="s">
        <v>426</v>
      </c>
      <c r="J1209" s="11">
        <v>45951</v>
      </c>
      <c r="K1209" t="s">
        <v>210</v>
      </c>
    </row>
    <row r="1210" spans="7:11" x14ac:dyDescent="0.3">
      <c r="G1210" t="s">
        <v>60</v>
      </c>
      <c r="H1210" s="1">
        <v>20</v>
      </c>
      <c r="I1210" s="1" t="s">
        <v>426</v>
      </c>
      <c r="J1210" s="11">
        <v>45951</v>
      </c>
      <c r="K1210" t="s">
        <v>96</v>
      </c>
    </row>
    <row r="1211" spans="7:11" x14ac:dyDescent="0.3">
      <c r="G1211" t="s">
        <v>362</v>
      </c>
      <c r="H1211" s="1">
        <v>1150</v>
      </c>
      <c r="I1211" s="1" t="s">
        <v>426</v>
      </c>
      <c r="J1211" s="11">
        <v>45951</v>
      </c>
      <c r="K1211" t="s">
        <v>90</v>
      </c>
    </row>
    <row r="1212" spans="7:11" x14ac:dyDescent="0.3">
      <c r="G1212" t="s">
        <v>446</v>
      </c>
      <c r="H1212" s="1">
        <v>659.6</v>
      </c>
      <c r="I1212" s="1" t="s">
        <v>426</v>
      </c>
      <c r="J1212" s="11">
        <v>45951</v>
      </c>
      <c r="K1212" t="s">
        <v>90</v>
      </c>
    </row>
    <row r="1213" spans="7:11" x14ac:dyDescent="0.3">
      <c r="G1213" t="s">
        <v>372</v>
      </c>
      <c r="H1213" s="1">
        <v>1320</v>
      </c>
      <c r="I1213" s="1" t="s">
        <v>426</v>
      </c>
      <c r="J1213" s="11">
        <v>45951</v>
      </c>
      <c r="K1213" t="s">
        <v>90</v>
      </c>
    </row>
    <row r="1214" spans="7:11" x14ac:dyDescent="0.3">
      <c r="G1214" t="s">
        <v>269</v>
      </c>
      <c r="H1214" s="1">
        <v>725</v>
      </c>
      <c r="I1214" s="1" t="s">
        <v>426</v>
      </c>
      <c r="J1214" s="11">
        <v>45951</v>
      </c>
      <c r="K1214" t="s">
        <v>90</v>
      </c>
    </row>
    <row r="1215" spans="7:11" x14ac:dyDescent="0.3">
      <c r="G1215" t="s">
        <v>420</v>
      </c>
      <c r="H1215" s="1">
        <v>1221</v>
      </c>
      <c r="I1215" s="1" t="s">
        <v>426</v>
      </c>
      <c r="J1215" s="11">
        <v>45951</v>
      </c>
      <c r="K1215" t="s">
        <v>90</v>
      </c>
    </row>
    <row r="1216" spans="7:11" x14ac:dyDescent="0.3">
      <c r="G1216" t="s">
        <v>313</v>
      </c>
      <c r="H1216" s="1">
        <v>35</v>
      </c>
      <c r="I1216" s="1" t="s">
        <v>426</v>
      </c>
      <c r="J1216" s="11">
        <v>45951</v>
      </c>
      <c r="K1216" t="s">
        <v>275</v>
      </c>
    </row>
    <row r="1217" spans="7:11" x14ac:dyDescent="0.3">
      <c r="G1217" t="s">
        <v>243</v>
      </c>
      <c r="H1217" s="1">
        <v>70</v>
      </c>
      <c r="I1217" s="1" t="s">
        <v>426</v>
      </c>
      <c r="J1217" s="11">
        <v>45952</v>
      </c>
      <c r="K1217" t="s">
        <v>95</v>
      </c>
    </row>
    <row r="1218" spans="7:11" x14ac:dyDescent="0.3">
      <c r="G1218" t="s">
        <v>243</v>
      </c>
      <c r="H1218" s="1">
        <v>140</v>
      </c>
      <c r="I1218" s="1" t="s">
        <v>426</v>
      </c>
      <c r="J1218" s="11">
        <v>45952</v>
      </c>
      <c r="K1218" t="s">
        <v>95</v>
      </c>
    </row>
    <row r="1219" spans="7:11" x14ac:dyDescent="0.3">
      <c r="G1219" t="s">
        <v>219</v>
      </c>
      <c r="H1219" s="1">
        <v>2246.42</v>
      </c>
      <c r="I1219" s="1" t="s">
        <v>426</v>
      </c>
      <c r="J1219" s="11">
        <v>45952</v>
      </c>
      <c r="K1219" t="s">
        <v>219</v>
      </c>
    </row>
    <row r="1220" spans="7:11" x14ac:dyDescent="0.3">
      <c r="G1220" t="s">
        <v>370</v>
      </c>
      <c r="H1220" s="1">
        <v>420</v>
      </c>
      <c r="I1220" s="1" t="s">
        <v>426</v>
      </c>
      <c r="J1220" s="11">
        <v>45952</v>
      </c>
      <c r="K1220" t="s">
        <v>90</v>
      </c>
    </row>
    <row r="1221" spans="7:11" x14ac:dyDescent="0.3">
      <c r="G1221" t="s">
        <v>353</v>
      </c>
      <c r="H1221" s="1">
        <v>1625</v>
      </c>
      <c r="I1221" s="1" t="s">
        <v>426</v>
      </c>
      <c r="J1221" s="11">
        <v>45952</v>
      </c>
      <c r="K1221" t="s">
        <v>90</v>
      </c>
    </row>
    <row r="1222" spans="7:11" x14ac:dyDescent="0.3">
      <c r="G1222" t="s">
        <v>354</v>
      </c>
      <c r="H1222" s="1">
        <v>1050</v>
      </c>
      <c r="I1222" s="1" t="s">
        <v>426</v>
      </c>
      <c r="J1222" s="11">
        <v>45952</v>
      </c>
      <c r="K1222" t="s">
        <v>90</v>
      </c>
    </row>
    <row r="1223" spans="7:11" x14ac:dyDescent="0.3">
      <c r="G1223" t="s">
        <v>414</v>
      </c>
      <c r="H1223" s="1">
        <v>620</v>
      </c>
      <c r="I1223" s="1" t="s">
        <v>426</v>
      </c>
      <c r="J1223" s="11">
        <v>45952</v>
      </c>
      <c r="K1223" t="s">
        <v>90</v>
      </c>
    </row>
    <row r="1224" spans="7:11" x14ac:dyDescent="0.3">
      <c r="G1224" t="s">
        <v>305</v>
      </c>
      <c r="H1224" s="1">
        <v>50</v>
      </c>
      <c r="I1224" s="1" t="s">
        <v>426</v>
      </c>
      <c r="J1224" s="11">
        <v>45952</v>
      </c>
      <c r="K1224" t="s">
        <v>90</v>
      </c>
    </row>
    <row r="1225" spans="7:11" x14ac:dyDescent="0.3">
      <c r="G1225" t="s">
        <v>401</v>
      </c>
      <c r="H1225" s="1">
        <v>80</v>
      </c>
      <c r="I1225" s="1" t="s">
        <v>426</v>
      </c>
      <c r="J1225" s="11">
        <v>45952</v>
      </c>
      <c r="K1225" t="s">
        <v>90</v>
      </c>
    </row>
    <row r="1226" spans="7:11" x14ac:dyDescent="0.3">
      <c r="G1226" t="s">
        <v>229</v>
      </c>
      <c r="H1226" s="1">
        <v>560</v>
      </c>
      <c r="I1226" s="1" t="s">
        <v>426</v>
      </c>
      <c r="J1226" s="11">
        <v>45954</v>
      </c>
      <c r="K1226" t="s">
        <v>95</v>
      </c>
    </row>
    <row r="1227" spans="7:11" x14ac:dyDescent="0.3">
      <c r="G1227" t="s">
        <v>243</v>
      </c>
      <c r="H1227" s="1">
        <v>40</v>
      </c>
      <c r="I1227" s="1" t="s">
        <v>426</v>
      </c>
      <c r="J1227" s="11">
        <v>45954</v>
      </c>
      <c r="K1227" t="s">
        <v>95</v>
      </c>
    </row>
    <row r="1228" spans="7:11" x14ac:dyDescent="0.3">
      <c r="G1228" t="s">
        <v>1</v>
      </c>
      <c r="H1228" s="1">
        <v>1770</v>
      </c>
      <c r="I1228" s="1" t="s">
        <v>426</v>
      </c>
      <c r="J1228" s="11">
        <v>45954</v>
      </c>
      <c r="K1228" t="s">
        <v>1</v>
      </c>
    </row>
    <row r="1229" spans="7:11" x14ac:dyDescent="0.3">
      <c r="G1229" t="s">
        <v>461</v>
      </c>
      <c r="H1229" s="1">
        <v>2000</v>
      </c>
      <c r="I1229" s="1" t="s">
        <v>426</v>
      </c>
      <c r="J1229" s="11">
        <v>45954</v>
      </c>
      <c r="K1229" t="s">
        <v>96</v>
      </c>
    </row>
    <row r="1230" spans="7:11" x14ac:dyDescent="0.3">
      <c r="G1230" t="s">
        <v>460</v>
      </c>
      <c r="H1230" s="1">
        <v>1521</v>
      </c>
      <c r="I1230" s="1" t="s">
        <v>426</v>
      </c>
      <c r="J1230" s="11">
        <v>45954</v>
      </c>
      <c r="K1230" t="s">
        <v>97</v>
      </c>
    </row>
    <row r="1231" spans="7:11" x14ac:dyDescent="0.3">
      <c r="G1231" t="s">
        <v>459</v>
      </c>
      <c r="H1231" s="1">
        <v>200</v>
      </c>
      <c r="I1231" s="1" t="s">
        <v>426</v>
      </c>
      <c r="J1231" s="11">
        <v>45954</v>
      </c>
      <c r="K1231" t="s">
        <v>97</v>
      </c>
    </row>
    <row r="1232" spans="7:11" x14ac:dyDescent="0.3">
      <c r="G1232" t="s">
        <v>13</v>
      </c>
      <c r="H1232" s="1">
        <v>900</v>
      </c>
      <c r="I1232" s="1" t="s">
        <v>426</v>
      </c>
      <c r="J1232" s="11">
        <v>45954</v>
      </c>
      <c r="K1232" t="s">
        <v>97</v>
      </c>
    </row>
    <row r="1233" spans="7:11" x14ac:dyDescent="0.3">
      <c r="G1233" t="s">
        <v>420</v>
      </c>
      <c r="H1233" s="1">
        <v>3265</v>
      </c>
      <c r="I1233" s="1" t="s">
        <v>426</v>
      </c>
      <c r="J1233" s="11">
        <v>45954</v>
      </c>
      <c r="K1233" t="s">
        <v>90</v>
      </c>
    </row>
    <row r="1234" spans="7:11" x14ac:dyDescent="0.3">
      <c r="G1234" t="s">
        <v>341</v>
      </c>
      <c r="H1234" s="1">
        <v>520</v>
      </c>
      <c r="I1234" s="1" t="s">
        <v>426</v>
      </c>
      <c r="J1234" s="11">
        <v>45954</v>
      </c>
      <c r="K1234" t="s">
        <v>90</v>
      </c>
    </row>
    <row r="1235" spans="7:11" x14ac:dyDescent="0.3">
      <c r="G1235" t="s">
        <v>362</v>
      </c>
      <c r="H1235" s="1">
        <v>80</v>
      </c>
      <c r="I1235" s="1" t="s">
        <v>426</v>
      </c>
      <c r="J1235" s="11">
        <v>45954</v>
      </c>
      <c r="K1235" t="s">
        <v>90</v>
      </c>
    </row>
    <row r="1236" spans="7:11" x14ac:dyDescent="0.3">
      <c r="G1236" t="s">
        <v>446</v>
      </c>
      <c r="H1236" s="1">
        <v>707</v>
      </c>
      <c r="I1236" s="1" t="s">
        <v>426</v>
      </c>
      <c r="J1236" s="11">
        <v>45954</v>
      </c>
      <c r="K1236" t="s">
        <v>90</v>
      </c>
    </row>
    <row r="1237" spans="7:11" x14ac:dyDescent="0.3">
      <c r="G1237" t="s">
        <v>229</v>
      </c>
      <c r="H1237" s="1">
        <v>280</v>
      </c>
      <c r="I1237" s="1" t="s">
        <v>426</v>
      </c>
      <c r="J1237" s="11">
        <v>45955</v>
      </c>
      <c r="K1237" t="s">
        <v>95</v>
      </c>
    </row>
    <row r="1238" spans="7:11" x14ac:dyDescent="0.3">
      <c r="G1238" t="s">
        <v>243</v>
      </c>
      <c r="H1238" s="1">
        <v>80</v>
      </c>
      <c r="I1238" s="1" t="s">
        <v>426</v>
      </c>
      <c r="J1238" s="11">
        <v>45955</v>
      </c>
      <c r="K1238" t="s">
        <v>95</v>
      </c>
    </row>
    <row r="1239" spans="7:11" x14ac:dyDescent="0.3">
      <c r="G1239" t="s">
        <v>434</v>
      </c>
      <c r="H1239" s="1">
        <v>505</v>
      </c>
      <c r="I1239" s="1" t="s">
        <v>426</v>
      </c>
      <c r="J1239" s="11">
        <v>45955</v>
      </c>
      <c r="K1239" t="s">
        <v>270</v>
      </c>
    </row>
    <row r="1240" spans="7:11" x14ac:dyDescent="0.3">
      <c r="G1240" t="s">
        <v>370</v>
      </c>
      <c r="H1240" s="1">
        <v>840</v>
      </c>
      <c r="I1240" s="1" t="s">
        <v>426</v>
      </c>
      <c r="J1240" s="11">
        <v>45955</v>
      </c>
      <c r="K1240" t="s">
        <v>270</v>
      </c>
    </row>
    <row r="1241" spans="7:11" x14ac:dyDescent="0.3">
      <c r="G1241" t="s">
        <v>416</v>
      </c>
      <c r="H1241" s="1">
        <v>440</v>
      </c>
      <c r="I1241" s="1" t="s">
        <v>426</v>
      </c>
      <c r="J1241" s="11">
        <v>45957</v>
      </c>
      <c r="K1241" t="s">
        <v>95</v>
      </c>
    </row>
    <row r="1242" spans="7:11" x14ac:dyDescent="0.3">
      <c r="G1242" t="s">
        <v>161</v>
      </c>
      <c r="H1242" s="1">
        <v>1200</v>
      </c>
      <c r="I1242" s="1" t="s">
        <v>426</v>
      </c>
      <c r="J1242" s="11">
        <v>45957</v>
      </c>
      <c r="K1242" t="s">
        <v>161</v>
      </c>
    </row>
    <row r="1243" spans="7:11" x14ac:dyDescent="0.3">
      <c r="G1243" t="s">
        <v>162</v>
      </c>
      <c r="H1243" s="1">
        <v>908.5</v>
      </c>
      <c r="I1243" s="1" t="s">
        <v>426</v>
      </c>
      <c r="J1243" s="11">
        <v>45957</v>
      </c>
      <c r="K1243" t="s">
        <v>162</v>
      </c>
    </row>
    <row r="1244" spans="7:11" x14ac:dyDescent="0.3">
      <c r="G1244" t="s">
        <v>149</v>
      </c>
      <c r="H1244" s="1">
        <v>150</v>
      </c>
      <c r="I1244" s="1" t="s">
        <v>426</v>
      </c>
      <c r="J1244" s="11">
        <v>45957</v>
      </c>
      <c r="K1244" t="s">
        <v>210</v>
      </c>
    </row>
    <row r="1245" spans="7:11" x14ac:dyDescent="0.3">
      <c r="G1245" t="s">
        <v>461</v>
      </c>
      <c r="H1245" s="1">
        <v>400</v>
      </c>
      <c r="I1245" s="1" t="s">
        <v>426</v>
      </c>
      <c r="J1245" s="11">
        <v>45957</v>
      </c>
      <c r="K1245" t="s">
        <v>96</v>
      </c>
    </row>
    <row r="1246" spans="7:11" x14ac:dyDescent="0.3">
      <c r="G1246" t="s">
        <v>463</v>
      </c>
      <c r="H1246" s="1">
        <v>70</v>
      </c>
      <c r="I1246" s="1" t="s">
        <v>426</v>
      </c>
      <c r="J1246" s="11">
        <v>45957</v>
      </c>
      <c r="K1246" t="s">
        <v>97</v>
      </c>
    </row>
    <row r="1247" spans="7:11" x14ac:dyDescent="0.3">
      <c r="G1247" t="s">
        <v>462</v>
      </c>
      <c r="H1247" s="1">
        <v>600</v>
      </c>
      <c r="I1247" s="1" t="s">
        <v>426</v>
      </c>
      <c r="J1247" s="11">
        <v>45957</v>
      </c>
      <c r="K1247" t="s">
        <v>97</v>
      </c>
    </row>
    <row r="1248" spans="7:11" x14ac:dyDescent="0.3">
      <c r="G1248" t="s">
        <v>337</v>
      </c>
      <c r="H1248" s="1">
        <v>315</v>
      </c>
      <c r="I1248" s="1" t="s">
        <v>426</v>
      </c>
      <c r="J1248" s="11">
        <v>45957</v>
      </c>
      <c r="K1248" t="s">
        <v>270</v>
      </c>
    </row>
    <row r="1249" spans="7:11" x14ac:dyDescent="0.3">
      <c r="G1249" t="s">
        <v>420</v>
      </c>
      <c r="H1249" s="1">
        <v>200</v>
      </c>
      <c r="I1249" s="1" t="s">
        <v>426</v>
      </c>
      <c r="J1249" s="11">
        <v>45957</v>
      </c>
      <c r="K1249" t="s">
        <v>270</v>
      </c>
    </row>
    <row r="1250" spans="7:11" x14ac:dyDescent="0.3">
      <c r="G1250" t="s">
        <v>361</v>
      </c>
      <c r="H1250" s="1">
        <v>730</v>
      </c>
      <c r="I1250" s="1" t="s">
        <v>426</v>
      </c>
      <c r="J1250" s="11">
        <v>45957</v>
      </c>
      <c r="K1250" t="s">
        <v>270</v>
      </c>
    </row>
    <row r="1251" spans="7:11" x14ac:dyDescent="0.3">
      <c r="G1251" t="s">
        <v>362</v>
      </c>
      <c r="H1251" s="1">
        <v>240</v>
      </c>
      <c r="I1251" s="1" t="s">
        <v>426</v>
      </c>
      <c r="J1251" s="11">
        <v>45957</v>
      </c>
      <c r="K1251" t="s">
        <v>270</v>
      </c>
    </row>
    <row r="1252" spans="7:11" x14ac:dyDescent="0.3">
      <c r="G1252" t="s">
        <v>149</v>
      </c>
      <c r="H1252" s="1">
        <v>125</v>
      </c>
      <c r="I1252" s="1" t="s">
        <v>426</v>
      </c>
      <c r="J1252" s="11">
        <v>45958</v>
      </c>
      <c r="K1252" t="s">
        <v>210</v>
      </c>
    </row>
    <row r="1253" spans="7:11" x14ac:dyDescent="0.3">
      <c r="G1253" t="s">
        <v>60</v>
      </c>
      <c r="H1253" s="1">
        <v>20</v>
      </c>
      <c r="I1253" s="1" t="s">
        <v>426</v>
      </c>
      <c r="J1253" s="11">
        <v>45958</v>
      </c>
      <c r="K1253" t="s">
        <v>96</v>
      </c>
    </row>
    <row r="1254" spans="7:11" x14ac:dyDescent="0.3">
      <c r="G1254" t="s">
        <v>420</v>
      </c>
      <c r="H1254" s="1">
        <v>855</v>
      </c>
      <c r="I1254" s="1" t="s">
        <v>426</v>
      </c>
      <c r="J1254" s="11">
        <v>45958</v>
      </c>
      <c r="K1254" t="s">
        <v>270</v>
      </c>
    </row>
    <row r="1255" spans="7:11" x14ac:dyDescent="0.3">
      <c r="G1255" t="s">
        <v>464</v>
      </c>
      <c r="H1255" s="1">
        <v>895</v>
      </c>
      <c r="I1255" s="1" t="s">
        <v>426</v>
      </c>
      <c r="J1255" s="11">
        <v>45958</v>
      </c>
      <c r="K1255" t="s">
        <v>270</v>
      </c>
    </row>
    <row r="1256" spans="7:11" x14ac:dyDescent="0.3">
      <c r="G1256" t="s">
        <v>319</v>
      </c>
      <c r="H1256" s="1">
        <v>872.4</v>
      </c>
      <c r="I1256" s="1" t="s">
        <v>426</v>
      </c>
      <c r="J1256" s="11">
        <v>45958</v>
      </c>
      <c r="K1256" t="s">
        <v>270</v>
      </c>
    </row>
    <row r="1257" spans="7:11" x14ac:dyDescent="0.3">
      <c r="G1257" t="s">
        <v>465</v>
      </c>
      <c r="H1257" s="1">
        <v>375</v>
      </c>
      <c r="I1257" s="1" t="s">
        <v>426</v>
      </c>
      <c r="J1257" s="11">
        <v>45958</v>
      </c>
      <c r="K1257" t="s">
        <v>270</v>
      </c>
    </row>
    <row r="1258" spans="7:11" x14ac:dyDescent="0.3">
      <c r="G1258" t="s">
        <v>420</v>
      </c>
      <c r="H1258" s="1">
        <v>1722</v>
      </c>
      <c r="I1258" s="1" t="s">
        <v>426</v>
      </c>
      <c r="J1258" s="11">
        <v>45958</v>
      </c>
      <c r="K1258" t="s">
        <v>270</v>
      </c>
    </row>
    <row r="1259" spans="7:11" x14ac:dyDescent="0.3">
      <c r="G1259" t="s">
        <v>60</v>
      </c>
      <c r="H1259" s="1">
        <v>21.5</v>
      </c>
      <c r="I1259" s="1" t="s">
        <v>426</v>
      </c>
      <c r="J1259" s="11">
        <v>45959</v>
      </c>
      <c r="K1259" t="s">
        <v>96</v>
      </c>
    </row>
    <row r="1260" spans="7:11" x14ac:dyDescent="0.3">
      <c r="G1260" t="s">
        <v>459</v>
      </c>
      <c r="H1260" s="1">
        <v>200</v>
      </c>
      <c r="I1260" s="1" t="s">
        <v>426</v>
      </c>
      <c r="J1260" s="11">
        <v>45959</v>
      </c>
      <c r="K1260" t="s">
        <v>97</v>
      </c>
    </row>
    <row r="1261" spans="7:11" x14ac:dyDescent="0.3">
      <c r="G1261" t="s">
        <v>370</v>
      </c>
      <c r="H1261" s="1">
        <v>105</v>
      </c>
      <c r="I1261" s="1" t="s">
        <v>426</v>
      </c>
      <c r="J1261" s="11">
        <v>45959</v>
      </c>
      <c r="K1261" t="s">
        <v>270</v>
      </c>
    </row>
    <row r="1262" spans="7:11" x14ac:dyDescent="0.3">
      <c r="G1262" t="s">
        <v>353</v>
      </c>
      <c r="H1262" s="1">
        <v>650</v>
      </c>
      <c r="I1262" s="1" t="s">
        <v>426</v>
      </c>
      <c r="J1262" s="11">
        <v>45959</v>
      </c>
      <c r="K1262" t="s">
        <v>270</v>
      </c>
    </row>
    <row r="1263" spans="7:11" x14ac:dyDescent="0.3">
      <c r="G1263" t="s">
        <v>431</v>
      </c>
      <c r="H1263" s="1">
        <v>540</v>
      </c>
      <c r="I1263" s="1" t="s">
        <v>426</v>
      </c>
      <c r="J1263" s="11">
        <v>45959</v>
      </c>
      <c r="K1263" t="s">
        <v>270</v>
      </c>
    </row>
    <row r="1264" spans="7:11" x14ac:dyDescent="0.3">
      <c r="G1264" t="s">
        <v>251</v>
      </c>
      <c r="H1264" s="1">
        <v>35</v>
      </c>
      <c r="I1264" s="1" t="s">
        <v>426</v>
      </c>
      <c r="J1264" s="11">
        <v>45959</v>
      </c>
      <c r="K1264" t="s">
        <v>275</v>
      </c>
    </row>
    <row r="1265" spans="7:11" x14ac:dyDescent="0.3">
      <c r="G1265" t="s">
        <v>243</v>
      </c>
      <c r="H1265" s="1">
        <v>120</v>
      </c>
      <c r="I1265" s="1" t="s">
        <v>426</v>
      </c>
      <c r="J1265" s="11">
        <v>45960</v>
      </c>
      <c r="K1265" t="s">
        <v>95</v>
      </c>
    </row>
    <row r="1266" spans="7:11" x14ac:dyDescent="0.3">
      <c r="G1266" t="s">
        <v>402</v>
      </c>
      <c r="H1266" s="1">
        <v>437</v>
      </c>
      <c r="I1266" s="1" t="s">
        <v>426</v>
      </c>
      <c r="J1266" s="11">
        <v>45960</v>
      </c>
      <c r="K1266" t="s">
        <v>96</v>
      </c>
    </row>
    <row r="1267" spans="7:11" x14ac:dyDescent="0.3">
      <c r="G1267" t="s">
        <v>370</v>
      </c>
      <c r="H1267" s="1">
        <v>105</v>
      </c>
      <c r="I1267" s="1" t="s">
        <v>426</v>
      </c>
      <c r="J1267" s="11">
        <v>45960</v>
      </c>
      <c r="K1267" t="s">
        <v>270</v>
      </c>
    </row>
    <row r="1268" spans="7:11" x14ac:dyDescent="0.3">
      <c r="G1268" t="s">
        <v>337</v>
      </c>
      <c r="H1268" s="1">
        <v>80</v>
      </c>
      <c r="I1268" s="1" t="s">
        <v>426</v>
      </c>
      <c r="J1268" s="11">
        <v>45960</v>
      </c>
      <c r="K1268" t="s">
        <v>270</v>
      </c>
    </row>
    <row r="1269" spans="7:11" x14ac:dyDescent="0.3">
      <c r="G1269" t="s">
        <v>332</v>
      </c>
      <c r="H1269" s="1">
        <v>2000</v>
      </c>
      <c r="I1269" s="1" t="s">
        <v>426</v>
      </c>
      <c r="J1269" s="11">
        <v>45961</v>
      </c>
      <c r="K1269" t="s">
        <v>91</v>
      </c>
    </row>
    <row r="1270" spans="7:11" x14ac:dyDescent="0.3">
      <c r="G1270" t="s">
        <v>299</v>
      </c>
      <c r="H1270" s="1">
        <v>1387</v>
      </c>
      <c r="I1270" s="1" t="s">
        <v>426</v>
      </c>
      <c r="J1270" s="11">
        <v>45961</v>
      </c>
      <c r="K1270" t="s">
        <v>91</v>
      </c>
    </row>
    <row r="1271" spans="7:11" x14ac:dyDescent="0.3">
      <c r="G1271" t="s">
        <v>380</v>
      </c>
      <c r="H1271" s="1">
        <v>389.5</v>
      </c>
      <c r="I1271" s="1" t="s">
        <v>426</v>
      </c>
      <c r="J1271" s="11">
        <v>45961</v>
      </c>
      <c r="K1271" t="s">
        <v>91</v>
      </c>
    </row>
    <row r="1272" spans="7:11" x14ac:dyDescent="0.3">
      <c r="G1272" t="s">
        <v>381</v>
      </c>
      <c r="H1272" s="1">
        <v>389.5</v>
      </c>
      <c r="I1272" s="1" t="s">
        <v>426</v>
      </c>
      <c r="J1272" s="11">
        <v>45961</v>
      </c>
      <c r="K1272" t="s">
        <v>91</v>
      </c>
    </row>
    <row r="1273" spans="7:11" x14ac:dyDescent="0.3">
      <c r="G1273" t="s">
        <v>387</v>
      </c>
      <c r="H1273" s="1">
        <v>408</v>
      </c>
      <c r="I1273" s="1" t="s">
        <v>426</v>
      </c>
      <c r="J1273" s="11">
        <v>45961</v>
      </c>
      <c r="K1273" t="s">
        <v>91</v>
      </c>
    </row>
    <row r="1274" spans="7:11" x14ac:dyDescent="0.3">
      <c r="G1274" t="s">
        <v>33</v>
      </c>
      <c r="H1274" s="1">
        <v>265</v>
      </c>
      <c r="I1274" s="1" t="s">
        <v>426</v>
      </c>
      <c r="J1274" s="11">
        <v>45961</v>
      </c>
      <c r="K1274" t="s">
        <v>97</v>
      </c>
    </row>
    <row r="1275" spans="7:11" x14ac:dyDescent="0.3">
      <c r="G1275" t="s">
        <v>33</v>
      </c>
      <c r="H1275" s="1">
        <v>900</v>
      </c>
      <c r="I1275" s="1" t="s">
        <v>426</v>
      </c>
      <c r="J1275" s="11">
        <v>45961</v>
      </c>
      <c r="K1275" t="s">
        <v>97</v>
      </c>
    </row>
    <row r="1276" spans="7:11" x14ac:dyDescent="0.3">
      <c r="G1276" t="s">
        <v>456</v>
      </c>
      <c r="H1276" s="1">
        <v>440</v>
      </c>
      <c r="I1276" s="1" t="s">
        <v>426</v>
      </c>
      <c r="J1276" s="11">
        <v>45961</v>
      </c>
      <c r="K1276" t="s">
        <v>270</v>
      </c>
    </row>
    <row r="1277" spans="7:11" x14ac:dyDescent="0.3">
      <c r="G1277" t="s">
        <v>446</v>
      </c>
      <c r="H1277" s="1">
        <v>380</v>
      </c>
      <c r="I1277" s="1" t="s">
        <v>426</v>
      </c>
      <c r="J1277" s="11">
        <v>45961</v>
      </c>
      <c r="K1277" t="s">
        <v>270</v>
      </c>
    </row>
    <row r="1278" spans="7:11" x14ac:dyDescent="0.3">
      <c r="G1278" t="s">
        <v>251</v>
      </c>
      <c r="H1278" s="1">
        <v>61</v>
      </c>
      <c r="I1278" s="1" t="s">
        <v>426</v>
      </c>
      <c r="J1278" s="11">
        <v>45961</v>
      </c>
      <c r="K1278" t="s">
        <v>270</v>
      </c>
    </row>
    <row r="1279" spans="7:11" x14ac:dyDescent="0.3">
      <c r="G1279" t="s">
        <v>362</v>
      </c>
      <c r="H1279" s="1">
        <v>160</v>
      </c>
      <c r="I1279" s="1" t="s">
        <v>426</v>
      </c>
      <c r="J1279" s="11">
        <v>45961</v>
      </c>
      <c r="K1279" t="s">
        <v>270</v>
      </c>
    </row>
    <row r="1280" spans="7:11" x14ac:dyDescent="0.3">
      <c r="G1280" t="s">
        <v>322</v>
      </c>
      <c r="H1280" s="1">
        <v>340</v>
      </c>
      <c r="I1280" s="1" t="s">
        <v>467</v>
      </c>
      <c r="J1280" s="11">
        <v>45962</v>
      </c>
      <c r="K1280" t="s">
        <v>205</v>
      </c>
    </row>
    <row r="1281" spans="7:11" x14ac:dyDescent="0.3">
      <c r="G1281" t="s">
        <v>431</v>
      </c>
      <c r="H1281" s="1">
        <v>4000</v>
      </c>
      <c r="I1281" s="1" t="s">
        <v>467</v>
      </c>
      <c r="J1281" s="11">
        <v>45962</v>
      </c>
      <c r="K1281" t="s">
        <v>466</v>
      </c>
    </row>
    <row r="1282" spans="7:11" x14ac:dyDescent="0.3">
      <c r="G1282" t="s">
        <v>468</v>
      </c>
      <c r="H1282" s="1">
        <v>900</v>
      </c>
      <c r="I1282" s="1" t="s">
        <v>467</v>
      </c>
      <c r="J1282" s="11">
        <v>45962</v>
      </c>
      <c r="K1282" t="s">
        <v>275</v>
      </c>
    </row>
    <row r="1283" spans="7:11" x14ac:dyDescent="0.3">
      <c r="G1283" t="s">
        <v>229</v>
      </c>
      <c r="H1283" s="1">
        <v>280</v>
      </c>
      <c r="I1283" s="1" t="s">
        <v>467</v>
      </c>
      <c r="J1283" s="11">
        <v>45962</v>
      </c>
      <c r="K1283" t="s">
        <v>95</v>
      </c>
    </row>
    <row r="1284" spans="7:11" x14ac:dyDescent="0.3">
      <c r="G1284" t="s">
        <v>376</v>
      </c>
      <c r="H1284" s="1">
        <v>1721</v>
      </c>
      <c r="I1284" s="1" t="s">
        <v>467</v>
      </c>
      <c r="J1284" s="11">
        <v>45964</v>
      </c>
      <c r="K1284" t="s">
        <v>466</v>
      </c>
    </row>
    <row r="1285" spans="7:11" x14ac:dyDescent="0.3">
      <c r="G1285" t="s">
        <v>430</v>
      </c>
      <c r="H1285" s="1">
        <v>2199</v>
      </c>
      <c r="I1285" s="1" t="s">
        <v>467</v>
      </c>
      <c r="J1285" s="11">
        <v>45964</v>
      </c>
      <c r="K1285" t="s">
        <v>466</v>
      </c>
    </row>
    <row r="1286" spans="7:11" x14ac:dyDescent="0.3">
      <c r="G1286" t="s">
        <v>461</v>
      </c>
      <c r="H1286" s="1">
        <v>509</v>
      </c>
      <c r="I1286" s="1" t="s">
        <v>467</v>
      </c>
      <c r="J1286" s="11">
        <v>45964</v>
      </c>
      <c r="K1286" t="s">
        <v>96</v>
      </c>
    </row>
    <row r="1287" spans="7:11" x14ac:dyDescent="0.3">
      <c r="G1287" t="s">
        <v>362</v>
      </c>
      <c r="H1287" s="1">
        <v>200</v>
      </c>
      <c r="I1287" s="1" t="s">
        <v>467</v>
      </c>
      <c r="J1287" s="11">
        <v>45964</v>
      </c>
      <c r="K1287" t="s">
        <v>90</v>
      </c>
    </row>
    <row r="1288" spans="7:11" x14ac:dyDescent="0.3">
      <c r="G1288" t="s">
        <v>370</v>
      </c>
      <c r="H1288" s="1">
        <v>210</v>
      </c>
      <c r="I1288" s="1" t="s">
        <v>467</v>
      </c>
      <c r="J1288" s="11">
        <v>45964</v>
      </c>
      <c r="K1288" t="s">
        <v>90</v>
      </c>
    </row>
    <row r="1289" spans="7:11" x14ac:dyDescent="0.3">
      <c r="G1289" t="s">
        <v>420</v>
      </c>
      <c r="H1289" s="1">
        <v>320</v>
      </c>
      <c r="I1289" s="1" t="s">
        <v>467</v>
      </c>
      <c r="J1289" s="11">
        <v>45964</v>
      </c>
      <c r="K1289" t="s">
        <v>90</v>
      </c>
    </row>
    <row r="1290" spans="7:11" x14ac:dyDescent="0.3">
      <c r="G1290" t="s">
        <v>349</v>
      </c>
      <c r="H1290" s="1">
        <v>1730</v>
      </c>
      <c r="I1290" s="1" t="s">
        <v>467</v>
      </c>
      <c r="J1290" s="11">
        <v>45964</v>
      </c>
      <c r="K1290" t="s">
        <v>90</v>
      </c>
    </row>
    <row r="1291" spans="7:11" x14ac:dyDescent="0.3">
      <c r="G1291" t="s">
        <v>229</v>
      </c>
      <c r="H1291" s="1">
        <v>460</v>
      </c>
      <c r="I1291" s="1" t="s">
        <v>467</v>
      </c>
      <c r="J1291" s="11">
        <v>45964</v>
      </c>
      <c r="K1291" t="s">
        <v>95</v>
      </c>
    </row>
    <row r="1292" spans="7:11" x14ac:dyDescent="0.3">
      <c r="G1292" t="s">
        <v>243</v>
      </c>
      <c r="H1292" s="1">
        <v>80</v>
      </c>
      <c r="I1292" s="1" t="s">
        <v>467</v>
      </c>
      <c r="J1292" s="11">
        <v>45964</v>
      </c>
      <c r="K1292" t="s">
        <v>95</v>
      </c>
    </row>
    <row r="1293" spans="7:11" x14ac:dyDescent="0.3">
      <c r="G1293" t="s">
        <v>149</v>
      </c>
      <c r="H1293" s="1">
        <v>50</v>
      </c>
      <c r="I1293" s="1" t="s">
        <v>467</v>
      </c>
      <c r="J1293" s="11">
        <v>45965</v>
      </c>
      <c r="K1293" t="s">
        <v>210</v>
      </c>
    </row>
    <row r="1294" spans="7:11" x14ac:dyDescent="0.3">
      <c r="G1294" t="s">
        <v>461</v>
      </c>
      <c r="H1294" s="1">
        <v>1754</v>
      </c>
      <c r="I1294" s="1" t="s">
        <v>467</v>
      </c>
      <c r="J1294" s="11">
        <v>45965</v>
      </c>
      <c r="K1294" t="s">
        <v>96</v>
      </c>
    </row>
    <row r="1295" spans="7:11" x14ac:dyDescent="0.3">
      <c r="G1295" t="s">
        <v>60</v>
      </c>
      <c r="H1295" s="1">
        <v>20</v>
      </c>
      <c r="I1295" s="1" t="s">
        <v>467</v>
      </c>
      <c r="J1295" s="11">
        <v>45965</v>
      </c>
      <c r="K1295" t="s">
        <v>96</v>
      </c>
    </row>
    <row r="1296" spans="7:11" x14ac:dyDescent="0.3">
      <c r="G1296" t="s">
        <v>372</v>
      </c>
      <c r="H1296" s="1">
        <v>1100</v>
      </c>
      <c r="I1296" s="1" t="s">
        <v>467</v>
      </c>
      <c r="J1296" s="11">
        <v>45965</v>
      </c>
      <c r="K1296" t="s">
        <v>90</v>
      </c>
    </row>
    <row r="1297" spans="7:11" x14ac:dyDescent="0.3">
      <c r="G1297" t="s">
        <v>361</v>
      </c>
      <c r="H1297" s="1">
        <v>850</v>
      </c>
      <c r="I1297" s="1" t="s">
        <v>467</v>
      </c>
      <c r="J1297" s="11">
        <v>45965</v>
      </c>
      <c r="K1297" t="s">
        <v>90</v>
      </c>
    </row>
    <row r="1298" spans="7:11" x14ac:dyDescent="0.3">
      <c r="G1298" t="s">
        <v>446</v>
      </c>
      <c r="H1298" s="1">
        <v>623</v>
      </c>
      <c r="I1298" s="1" t="s">
        <v>467</v>
      </c>
      <c r="J1298" s="11">
        <v>45965</v>
      </c>
      <c r="K1298" t="s">
        <v>90</v>
      </c>
    </row>
    <row r="1299" spans="7:11" x14ac:dyDescent="0.3">
      <c r="G1299" t="s">
        <v>394</v>
      </c>
      <c r="H1299" s="1">
        <v>273.5</v>
      </c>
      <c r="I1299" s="1" t="s">
        <v>467</v>
      </c>
      <c r="J1299" s="11">
        <v>45965</v>
      </c>
      <c r="K1299" t="s">
        <v>275</v>
      </c>
    </row>
    <row r="1300" spans="7:11" x14ac:dyDescent="0.3">
      <c r="G1300" t="s">
        <v>298</v>
      </c>
      <c r="H1300" s="1">
        <v>870</v>
      </c>
      <c r="I1300" s="1" t="s">
        <v>467</v>
      </c>
      <c r="J1300" s="11">
        <v>45966</v>
      </c>
      <c r="K1300" t="s">
        <v>466</v>
      </c>
    </row>
    <row r="1301" spans="7:11" x14ac:dyDescent="0.3">
      <c r="G1301" t="s">
        <v>430</v>
      </c>
      <c r="H1301" s="1">
        <v>135</v>
      </c>
      <c r="I1301" s="1" t="s">
        <v>467</v>
      </c>
      <c r="J1301" s="11">
        <v>45966</v>
      </c>
      <c r="K1301" t="s">
        <v>466</v>
      </c>
    </row>
    <row r="1302" spans="7:11" x14ac:dyDescent="0.3">
      <c r="G1302" t="s">
        <v>369</v>
      </c>
      <c r="H1302" s="1">
        <v>70</v>
      </c>
      <c r="I1302" s="1" t="s">
        <v>467</v>
      </c>
      <c r="J1302" s="11">
        <v>45966</v>
      </c>
      <c r="K1302" t="s">
        <v>466</v>
      </c>
    </row>
    <row r="1303" spans="7:11" x14ac:dyDescent="0.3">
      <c r="G1303" t="s">
        <v>461</v>
      </c>
      <c r="H1303" s="1">
        <v>230.4</v>
      </c>
      <c r="I1303" s="1" t="s">
        <v>467</v>
      </c>
      <c r="J1303" s="11">
        <v>45966</v>
      </c>
      <c r="K1303" t="s">
        <v>96</v>
      </c>
    </row>
    <row r="1304" spans="7:11" x14ac:dyDescent="0.3">
      <c r="G1304" t="s">
        <v>461</v>
      </c>
      <c r="H1304" s="1">
        <v>258.54000000000002</v>
      </c>
      <c r="I1304" s="1" t="s">
        <v>467</v>
      </c>
      <c r="J1304" s="11">
        <v>45966</v>
      </c>
      <c r="K1304" t="s">
        <v>96</v>
      </c>
    </row>
    <row r="1305" spans="7:11" x14ac:dyDescent="0.3">
      <c r="G1305" t="s">
        <v>469</v>
      </c>
      <c r="H1305" s="1">
        <v>880</v>
      </c>
      <c r="I1305" s="1" t="s">
        <v>467</v>
      </c>
      <c r="J1305" s="11">
        <v>45966</v>
      </c>
      <c r="K1305" t="s">
        <v>90</v>
      </c>
    </row>
    <row r="1306" spans="7:11" x14ac:dyDescent="0.3">
      <c r="G1306" t="s">
        <v>353</v>
      </c>
      <c r="H1306" s="1">
        <v>1400</v>
      </c>
      <c r="I1306" s="1" t="s">
        <v>467</v>
      </c>
      <c r="J1306" s="11">
        <v>45966</v>
      </c>
      <c r="K1306" t="s">
        <v>90</v>
      </c>
    </row>
    <row r="1307" spans="7:11" x14ac:dyDescent="0.3">
      <c r="G1307" t="s">
        <v>370</v>
      </c>
      <c r="H1307" s="1">
        <v>140</v>
      </c>
      <c r="I1307" s="1" t="s">
        <v>467</v>
      </c>
      <c r="J1307" s="11">
        <v>45966</v>
      </c>
      <c r="K1307" t="s">
        <v>90</v>
      </c>
    </row>
    <row r="1308" spans="7:11" x14ac:dyDescent="0.3">
      <c r="G1308" t="s">
        <v>374</v>
      </c>
      <c r="H1308" s="1">
        <v>1170</v>
      </c>
      <c r="I1308" s="1" t="s">
        <v>467</v>
      </c>
      <c r="J1308" s="11">
        <v>45966</v>
      </c>
      <c r="K1308" t="s">
        <v>90</v>
      </c>
    </row>
    <row r="1309" spans="7:11" x14ac:dyDescent="0.3">
      <c r="G1309" t="s">
        <v>446</v>
      </c>
      <c r="H1309" s="1">
        <v>40</v>
      </c>
      <c r="I1309" s="1" t="s">
        <v>467</v>
      </c>
      <c r="J1309" s="11">
        <v>45966</v>
      </c>
      <c r="K1309" t="s">
        <v>90</v>
      </c>
    </row>
    <row r="1310" spans="7:11" x14ac:dyDescent="0.3">
      <c r="G1310" t="s">
        <v>357</v>
      </c>
      <c r="H1310" s="1">
        <v>550</v>
      </c>
      <c r="I1310" s="1" t="s">
        <v>467</v>
      </c>
      <c r="J1310" s="11">
        <v>45966</v>
      </c>
      <c r="K1310" t="s">
        <v>90</v>
      </c>
    </row>
    <row r="1311" spans="7:11" x14ac:dyDescent="0.3">
      <c r="G1311" t="s">
        <v>416</v>
      </c>
      <c r="H1311" s="1">
        <v>339</v>
      </c>
      <c r="I1311" s="1" t="s">
        <v>467</v>
      </c>
      <c r="J1311" s="11">
        <v>45966</v>
      </c>
      <c r="K1311" t="s">
        <v>95</v>
      </c>
    </row>
    <row r="1312" spans="7:11" x14ac:dyDescent="0.3">
      <c r="G1312" t="s">
        <v>152</v>
      </c>
      <c r="H1312" s="1">
        <v>5000</v>
      </c>
      <c r="I1312" s="1" t="s">
        <v>467</v>
      </c>
      <c r="J1312" s="11">
        <v>45967</v>
      </c>
      <c r="K1312" t="s">
        <v>152</v>
      </c>
    </row>
    <row r="1313" spans="7:11" x14ac:dyDescent="0.3">
      <c r="G1313" t="s">
        <v>161</v>
      </c>
      <c r="H1313" s="1">
        <v>600</v>
      </c>
      <c r="I1313" s="1" t="s">
        <v>467</v>
      </c>
      <c r="J1313" s="11">
        <v>45967</v>
      </c>
      <c r="K1313" t="s">
        <v>161</v>
      </c>
    </row>
    <row r="1314" spans="7:11" x14ac:dyDescent="0.3">
      <c r="G1314" t="s">
        <v>149</v>
      </c>
      <c r="H1314" s="1">
        <v>40</v>
      </c>
      <c r="I1314" s="1" t="s">
        <v>467</v>
      </c>
      <c r="J1314" s="11">
        <v>45967</v>
      </c>
      <c r="K1314" t="s">
        <v>210</v>
      </c>
    </row>
    <row r="1315" spans="7:11" x14ac:dyDescent="0.3">
      <c r="G1315" t="s">
        <v>471</v>
      </c>
      <c r="H1315" s="1">
        <v>50</v>
      </c>
      <c r="I1315" s="1" t="s">
        <v>467</v>
      </c>
      <c r="J1315" s="11">
        <v>45967</v>
      </c>
      <c r="K1315" t="s">
        <v>96</v>
      </c>
    </row>
    <row r="1316" spans="7:11" x14ac:dyDescent="0.3">
      <c r="G1316" t="s">
        <v>337</v>
      </c>
      <c r="H1316" s="1">
        <v>225</v>
      </c>
      <c r="I1316" s="1" t="s">
        <v>467</v>
      </c>
      <c r="J1316" s="11">
        <v>45967</v>
      </c>
      <c r="K1316" t="s">
        <v>90</v>
      </c>
    </row>
    <row r="1317" spans="7:11" x14ac:dyDescent="0.3">
      <c r="G1317" t="s">
        <v>470</v>
      </c>
      <c r="H1317" s="1">
        <v>490</v>
      </c>
      <c r="I1317" s="1" t="s">
        <v>467</v>
      </c>
      <c r="J1317" s="11">
        <v>45967</v>
      </c>
      <c r="K1317" t="s">
        <v>90</v>
      </c>
    </row>
    <row r="1318" spans="7:11" x14ac:dyDescent="0.3">
      <c r="G1318" t="s">
        <v>76</v>
      </c>
      <c r="H1318" s="1">
        <v>20</v>
      </c>
      <c r="I1318" s="1" t="s">
        <v>467</v>
      </c>
      <c r="J1318" s="11">
        <v>45968</v>
      </c>
      <c r="K1318" t="s">
        <v>96</v>
      </c>
    </row>
    <row r="1319" spans="7:11" x14ac:dyDescent="0.3">
      <c r="G1319" t="s">
        <v>362</v>
      </c>
      <c r="H1319" s="1">
        <v>120</v>
      </c>
      <c r="I1319" s="1" t="s">
        <v>467</v>
      </c>
      <c r="J1319" s="11">
        <v>45968</v>
      </c>
      <c r="K1319" t="s">
        <v>90</v>
      </c>
    </row>
    <row r="1320" spans="7:11" x14ac:dyDescent="0.3">
      <c r="G1320" t="s">
        <v>370</v>
      </c>
      <c r="H1320" s="1">
        <v>335</v>
      </c>
      <c r="I1320" s="1" t="s">
        <v>467</v>
      </c>
      <c r="J1320" s="11">
        <v>45968</v>
      </c>
      <c r="K1320" t="s">
        <v>90</v>
      </c>
    </row>
    <row r="1321" spans="7:11" x14ac:dyDescent="0.3">
      <c r="G1321" t="s">
        <v>274</v>
      </c>
      <c r="H1321" s="1">
        <v>200</v>
      </c>
      <c r="I1321" s="1" t="s">
        <v>467</v>
      </c>
      <c r="J1321" s="11">
        <v>45968</v>
      </c>
      <c r="K1321" t="s">
        <v>275</v>
      </c>
    </row>
    <row r="1322" spans="7:11" x14ac:dyDescent="0.3">
      <c r="G1322" t="s">
        <v>127</v>
      </c>
      <c r="H1322" s="1">
        <v>42</v>
      </c>
      <c r="I1322" s="1" t="s">
        <v>467</v>
      </c>
      <c r="J1322" s="11">
        <v>45968</v>
      </c>
      <c r="K1322" t="s">
        <v>275</v>
      </c>
    </row>
    <row r="1323" spans="7:11" x14ac:dyDescent="0.3">
      <c r="G1323" t="s">
        <v>472</v>
      </c>
      <c r="H1323" s="1">
        <v>1206</v>
      </c>
      <c r="I1323" s="1" t="s">
        <v>467</v>
      </c>
      <c r="J1323" s="11">
        <v>45968</v>
      </c>
      <c r="K1323" t="s">
        <v>95</v>
      </c>
    </row>
    <row r="1324" spans="7:11" x14ac:dyDescent="0.3">
      <c r="G1324" t="s">
        <v>243</v>
      </c>
      <c r="H1324" s="1">
        <v>40</v>
      </c>
      <c r="I1324" s="1" t="s">
        <v>467</v>
      </c>
      <c r="J1324" s="11">
        <v>45968</v>
      </c>
      <c r="K1324" t="s">
        <v>95</v>
      </c>
    </row>
    <row r="1325" spans="7:11" x14ac:dyDescent="0.3">
      <c r="G1325" t="s">
        <v>205</v>
      </c>
      <c r="H1325" s="1">
        <v>170</v>
      </c>
      <c r="I1325" s="1" t="s">
        <v>467</v>
      </c>
      <c r="J1325" s="11">
        <v>45969</v>
      </c>
      <c r="K1325" t="s">
        <v>205</v>
      </c>
    </row>
    <row r="1326" spans="7:11" x14ac:dyDescent="0.3">
      <c r="G1326" t="s">
        <v>429</v>
      </c>
      <c r="H1326" s="1">
        <v>100</v>
      </c>
      <c r="I1326" s="1" t="s">
        <v>467</v>
      </c>
      <c r="J1326" s="11">
        <v>45969</v>
      </c>
      <c r="K1326" t="s">
        <v>97</v>
      </c>
    </row>
    <row r="1327" spans="7:11" x14ac:dyDescent="0.3">
      <c r="G1327" t="s">
        <v>420</v>
      </c>
      <c r="H1327" s="1">
        <v>2360</v>
      </c>
      <c r="I1327" s="1" t="s">
        <v>467</v>
      </c>
      <c r="J1327" s="11">
        <v>45969</v>
      </c>
      <c r="K1327" t="s">
        <v>90</v>
      </c>
    </row>
    <row r="1328" spans="7:11" x14ac:dyDescent="0.3">
      <c r="G1328" t="s">
        <v>446</v>
      </c>
      <c r="H1328" s="1">
        <v>923</v>
      </c>
      <c r="I1328" s="1" t="s">
        <v>467</v>
      </c>
      <c r="J1328" s="11">
        <v>45969</v>
      </c>
      <c r="K1328" t="s">
        <v>90</v>
      </c>
    </row>
    <row r="1329" spans="7:11" x14ac:dyDescent="0.3">
      <c r="G1329" t="s">
        <v>349</v>
      </c>
      <c r="H1329" s="1">
        <v>1300</v>
      </c>
      <c r="I1329" s="1" t="s">
        <v>467</v>
      </c>
      <c r="J1329" s="11">
        <v>45969</v>
      </c>
      <c r="K1329" t="s">
        <v>90</v>
      </c>
    </row>
    <row r="1330" spans="7:11" x14ac:dyDescent="0.3">
      <c r="G1330" t="s">
        <v>313</v>
      </c>
      <c r="H1330" s="1">
        <v>133</v>
      </c>
      <c r="I1330" s="1" t="s">
        <v>467</v>
      </c>
      <c r="J1330" s="11">
        <v>45969</v>
      </c>
      <c r="K1330" t="s">
        <v>275</v>
      </c>
    </row>
    <row r="1331" spans="7:11" x14ac:dyDescent="0.3">
      <c r="G1331" t="s">
        <v>229</v>
      </c>
      <c r="H1331" s="1">
        <v>280</v>
      </c>
      <c r="I1331" s="1" t="s">
        <v>467</v>
      </c>
      <c r="J1331" s="11">
        <v>45969</v>
      </c>
      <c r="K1331" t="s">
        <v>95</v>
      </c>
    </row>
    <row r="1332" spans="7:11" x14ac:dyDescent="0.3">
      <c r="G1332" t="s">
        <v>280</v>
      </c>
      <c r="H1332" s="1">
        <v>185</v>
      </c>
      <c r="I1332" s="1" t="s">
        <v>467</v>
      </c>
      <c r="J1332" s="11">
        <v>45971</v>
      </c>
      <c r="K1332" t="s">
        <v>280</v>
      </c>
    </row>
    <row r="1333" spans="7:11" x14ac:dyDescent="0.3">
      <c r="G1333" t="s">
        <v>149</v>
      </c>
      <c r="H1333" s="1">
        <v>40</v>
      </c>
      <c r="I1333" s="1" t="s">
        <v>467</v>
      </c>
      <c r="J1333" s="11">
        <v>45971</v>
      </c>
      <c r="K1333" t="s">
        <v>210</v>
      </c>
    </row>
    <row r="1334" spans="7:11" x14ac:dyDescent="0.3">
      <c r="G1334" t="s">
        <v>60</v>
      </c>
      <c r="H1334" s="1">
        <v>25</v>
      </c>
      <c r="I1334" s="1" t="s">
        <v>467</v>
      </c>
      <c r="J1334" s="11">
        <v>45971</v>
      </c>
      <c r="K1334" t="s">
        <v>96</v>
      </c>
    </row>
    <row r="1335" spans="7:11" x14ac:dyDescent="0.3">
      <c r="G1335" t="s">
        <v>33</v>
      </c>
      <c r="H1335" s="1">
        <v>225</v>
      </c>
      <c r="I1335" s="1" t="s">
        <v>467</v>
      </c>
      <c r="J1335" s="11">
        <v>45971</v>
      </c>
      <c r="K1335" t="s">
        <v>97</v>
      </c>
    </row>
    <row r="1336" spans="7:11" x14ac:dyDescent="0.3">
      <c r="G1336" t="s">
        <v>33</v>
      </c>
      <c r="H1336" s="1">
        <v>500</v>
      </c>
      <c r="I1336" s="1" t="s">
        <v>467</v>
      </c>
      <c r="J1336" s="11">
        <v>45971</v>
      </c>
      <c r="K1336" t="s">
        <v>97</v>
      </c>
    </row>
    <row r="1337" spans="7:11" x14ac:dyDescent="0.3">
      <c r="G1337" t="s">
        <v>473</v>
      </c>
      <c r="H1337" s="1">
        <v>420</v>
      </c>
      <c r="I1337" s="1" t="s">
        <v>467</v>
      </c>
      <c r="J1337" s="11">
        <v>45971</v>
      </c>
      <c r="K1337" t="s">
        <v>97</v>
      </c>
    </row>
    <row r="1338" spans="7:11" x14ac:dyDescent="0.3">
      <c r="G1338" t="s">
        <v>361</v>
      </c>
      <c r="H1338" s="1">
        <v>540</v>
      </c>
      <c r="I1338" s="1" t="s">
        <v>467</v>
      </c>
      <c r="J1338" s="11">
        <v>45971</v>
      </c>
      <c r="K1338" t="s">
        <v>270</v>
      </c>
    </row>
    <row r="1339" spans="7:11" x14ac:dyDescent="0.3">
      <c r="G1339" t="s">
        <v>456</v>
      </c>
      <c r="H1339" s="1">
        <v>380</v>
      </c>
      <c r="I1339" s="1" t="s">
        <v>467</v>
      </c>
      <c r="J1339" s="11">
        <v>45971</v>
      </c>
      <c r="K1339" t="s">
        <v>90</v>
      </c>
    </row>
    <row r="1340" spans="7:11" x14ac:dyDescent="0.3">
      <c r="G1340" t="s">
        <v>298</v>
      </c>
      <c r="H1340" s="1">
        <v>6000</v>
      </c>
      <c r="I1340" s="1" t="s">
        <v>467</v>
      </c>
      <c r="J1340" s="11">
        <v>45971</v>
      </c>
      <c r="K1340" t="s">
        <v>351</v>
      </c>
    </row>
    <row r="1341" spans="7:11" x14ac:dyDescent="0.3">
      <c r="G1341" t="s">
        <v>292</v>
      </c>
      <c r="H1341" s="1">
        <v>150</v>
      </c>
      <c r="I1341" s="1" t="s">
        <v>467</v>
      </c>
      <c r="J1341" s="11">
        <v>45971</v>
      </c>
      <c r="K1341" t="s">
        <v>61</v>
      </c>
    </row>
    <row r="1342" spans="7:11" x14ac:dyDescent="0.3">
      <c r="G1342" t="s">
        <v>244</v>
      </c>
      <c r="H1342" s="1">
        <v>3750</v>
      </c>
      <c r="I1342" s="1" t="s">
        <v>467</v>
      </c>
      <c r="J1342" s="11">
        <v>45971</v>
      </c>
      <c r="K1342" t="s">
        <v>95</v>
      </c>
    </row>
    <row r="1343" spans="7:11" x14ac:dyDescent="0.3">
      <c r="G1343" t="s">
        <v>416</v>
      </c>
      <c r="H1343" s="1">
        <v>385</v>
      </c>
      <c r="I1343" s="1" t="s">
        <v>467</v>
      </c>
      <c r="J1343" s="11">
        <v>45971</v>
      </c>
      <c r="K1343" t="s">
        <v>95</v>
      </c>
    </row>
    <row r="1344" spans="7:11" x14ac:dyDescent="0.3">
      <c r="G1344" t="s">
        <v>243</v>
      </c>
      <c r="H1344" s="1">
        <v>40</v>
      </c>
      <c r="I1344" s="1" t="s">
        <v>467</v>
      </c>
      <c r="J1344" s="11">
        <v>45971</v>
      </c>
      <c r="K1344" t="s">
        <v>95</v>
      </c>
    </row>
    <row r="1345" spans="7:11" x14ac:dyDescent="0.3">
      <c r="G1345" t="s">
        <v>149</v>
      </c>
      <c r="H1345" s="1">
        <v>26</v>
      </c>
      <c r="I1345" s="1" t="s">
        <v>467</v>
      </c>
      <c r="J1345" s="11">
        <v>45972</v>
      </c>
      <c r="K1345" t="s">
        <v>210</v>
      </c>
    </row>
    <row r="1346" spans="7:11" x14ac:dyDescent="0.3">
      <c r="G1346" t="s">
        <v>474</v>
      </c>
      <c r="H1346" s="1">
        <v>41</v>
      </c>
      <c r="I1346" s="1" t="s">
        <v>467</v>
      </c>
      <c r="J1346" s="11">
        <v>45972</v>
      </c>
      <c r="K1346" t="s">
        <v>96</v>
      </c>
    </row>
    <row r="1347" spans="7:11" x14ac:dyDescent="0.3">
      <c r="G1347" t="s">
        <v>446</v>
      </c>
      <c r="H1347" s="1">
        <v>550</v>
      </c>
      <c r="I1347" s="1" t="s">
        <v>467</v>
      </c>
      <c r="J1347" s="11">
        <v>45972</v>
      </c>
      <c r="K1347" t="s">
        <v>270</v>
      </c>
    </row>
    <row r="1348" spans="7:11" x14ac:dyDescent="0.3">
      <c r="G1348" t="s">
        <v>475</v>
      </c>
      <c r="H1348" s="1">
        <v>76</v>
      </c>
      <c r="I1348" s="1" t="s">
        <v>467</v>
      </c>
      <c r="J1348" s="11">
        <v>45972</v>
      </c>
      <c r="K1348" t="s">
        <v>275</v>
      </c>
    </row>
    <row r="1349" spans="7:11" x14ac:dyDescent="0.3">
      <c r="G1349" t="s">
        <v>229</v>
      </c>
      <c r="H1349" s="1">
        <v>280</v>
      </c>
      <c r="I1349" s="1" t="s">
        <v>467</v>
      </c>
      <c r="J1349" s="11">
        <v>45972</v>
      </c>
      <c r="K1349" t="s">
        <v>95</v>
      </c>
    </row>
    <row r="1350" spans="7:11" x14ac:dyDescent="0.3">
      <c r="G1350" t="s">
        <v>243</v>
      </c>
      <c r="H1350" s="1">
        <v>1760</v>
      </c>
      <c r="I1350" s="1" t="s">
        <v>467</v>
      </c>
      <c r="J1350" s="11">
        <v>45972</v>
      </c>
      <c r="K1350" t="s">
        <v>95</v>
      </c>
    </row>
    <row r="1351" spans="7:11" x14ac:dyDescent="0.3">
      <c r="G1351" t="s">
        <v>357</v>
      </c>
      <c r="H1351" s="1">
        <v>2500</v>
      </c>
      <c r="I1351" s="1" t="s">
        <v>467</v>
      </c>
      <c r="J1351" s="11">
        <v>45973</v>
      </c>
      <c r="K1351" t="s">
        <v>161</v>
      </c>
    </row>
    <row r="1352" spans="7:11" x14ac:dyDescent="0.3">
      <c r="G1352" t="s">
        <v>149</v>
      </c>
      <c r="H1352" s="1">
        <v>285</v>
      </c>
      <c r="I1352" s="1" t="s">
        <v>467</v>
      </c>
      <c r="J1352" s="11">
        <v>45973</v>
      </c>
      <c r="K1352" t="s">
        <v>210</v>
      </c>
    </row>
    <row r="1353" spans="7:11" x14ac:dyDescent="0.3">
      <c r="G1353" t="s">
        <v>225</v>
      </c>
      <c r="H1353" s="1">
        <v>1500</v>
      </c>
      <c r="I1353" s="1" t="s">
        <v>467</v>
      </c>
      <c r="J1353" s="11">
        <v>45973</v>
      </c>
      <c r="K1353" t="s">
        <v>225</v>
      </c>
    </row>
    <row r="1354" spans="7:11" x14ac:dyDescent="0.3">
      <c r="G1354" t="s">
        <v>362</v>
      </c>
      <c r="H1354" s="1">
        <v>1525</v>
      </c>
      <c r="I1354" s="1" t="s">
        <v>467</v>
      </c>
      <c r="J1354" s="11">
        <v>45973</v>
      </c>
      <c r="K1354" t="s">
        <v>270</v>
      </c>
    </row>
    <row r="1355" spans="7:11" x14ac:dyDescent="0.3">
      <c r="G1355" t="s">
        <v>476</v>
      </c>
      <c r="H1355" s="1">
        <v>910</v>
      </c>
      <c r="I1355" s="1" t="s">
        <v>467</v>
      </c>
      <c r="J1355" s="11">
        <v>45973</v>
      </c>
      <c r="K1355" t="s">
        <v>270</v>
      </c>
    </row>
    <row r="1356" spans="7:11" x14ac:dyDescent="0.3">
      <c r="G1356" t="s">
        <v>370</v>
      </c>
      <c r="H1356" s="1">
        <v>70</v>
      </c>
      <c r="I1356" s="1" t="s">
        <v>467</v>
      </c>
      <c r="J1356" s="11">
        <v>45973</v>
      </c>
      <c r="K1356" t="s">
        <v>270</v>
      </c>
    </row>
    <row r="1357" spans="7:11" x14ac:dyDescent="0.3">
      <c r="G1357" t="s">
        <v>420</v>
      </c>
      <c r="H1357" s="1">
        <v>360</v>
      </c>
      <c r="I1357" s="1" t="s">
        <v>467</v>
      </c>
      <c r="J1357" s="11">
        <v>45973</v>
      </c>
      <c r="K1357" t="s">
        <v>270</v>
      </c>
    </row>
    <row r="1358" spans="7:11" x14ac:dyDescent="0.3">
      <c r="G1358" t="s">
        <v>243</v>
      </c>
      <c r="H1358" s="1">
        <v>510</v>
      </c>
      <c r="I1358" s="1" t="s">
        <v>467</v>
      </c>
      <c r="J1358" s="11">
        <v>45973</v>
      </c>
      <c r="K1358" t="s">
        <v>95</v>
      </c>
    </row>
    <row r="1359" spans="7:11" x14ac:dyDescent="0.3">
      <c r="G1359" t="s">
        <v>243</v>
      </c>
      <c r="H1359" s="1">
        <v>40</v>
      </c>
      <c r="I1359" s="1" t="s">
        <v>467</v>
      </c>
      <c r="J1359" s="11">
        <v>45973</v>
      </c>
      <c r="K1359" t="s">
        <v>95</v>
      </c>
    </row>
    <row r="1360" spans="7:11" x14ac:dyDescent="0.3">
      <c r="G1360" t="s">
        <v>149</v>
      </c>
      <c r="H1360" s="1">
        <v>37.5</v>
      </c>
      <c r="I1360" s="1" t="s">
        <v>467</v>
      </c>
      <c r="J1360" s="11">
        <v>45974</v>
      </c>
      <c r="K1360" t="s">
        <v>210</v>
      </c>
    </row>
    <row r="1361" spans="7:11" x14ac:dyDescent="0.3">
      <c r="G1361" t="s">
        <v>337</v>
      </c>
      <c r="H1361" s="1">
        <v>270</v>
      </c>
      <c r="I1361" s="1" t="s">
        <v>467</v>
      </c>
      <c r="J1361" s="11">
        <v>45974</v>
      </c>
      <c r="K1361" t="s">
        <v>270</v>
      </c>
    </row>
    <row r="1362" spans="7:11" x14ac:dyDescent="0.3">
      <c r="G1362" t="s">
        <v>413</v>
      </c>
      <c r="H1362" s="1">
        <v>555</v>
      </c>
      <c r="I1362" s="1" t="s">
        <v>467</v>
      </c>
      <c r="J1362" s="11">
        <v>45974</v>
      </c>
      <c r="K1362" t="s">
        <v>270</v>
      </c>
    </row>
    <row r="1363" spans="7:11" x14ac:dyDescent="0.3">
      <c r="G1363" t="s">
        <v>470</v>
      </c>
      <c r="H1363" s="1">
        <v>570</v>
      </c>
      <c r="I1363" s="1" t="s">
        <v>467</v>
      </c>
      <c r="J1363" s="11">
        <v>45974</v>
      </c>
      <c r="K1363" t="s">
        <v>270</v>
      </c>
    </row>
    <row r="1364" spans="7:11" x14ac:dyDescent="0.3">
      <c r="G1364" t="s">
        <v>229</v>
      </c>
      <c r="H1364" s="1">
        <v>280</v>
      </c>
      <c r="I1364" s="1" t="s">
        <v>467</v>
      </c>
      <c r="J1364" s="11">
        <v>45974</v>
      </c>
      <c r="K1364" t="s">
        <v>95</v>
      </c>
    </row>
    <row r="1365" spans="7:11" x14ac:dyDescent="0.3">
      <c r="G1365" t="s">
        <v>477</v>
      </c>
      <c r="H1365" s="1">
        <v>1684.86</v>
      </c>
      <c r="I1365" s="1" t="s">
        <v>467</v>
      </c>
      <c r="J1365" s="11">
        <v>45974</v>
      </c>
      <c r="K1365" t="s">
        <v>95</v>
      </c>
    </row>
    <row r="1366" spans="7:11" x14ac:dyDescent="0.3">
      <c r="G1366" t="s">
        <v>479</v>
      </c>
      <c r="H1366" s="1">
        <v>1354.18</v>
      </c>
      <c r="I1366" s="1" t="s">
        <v>467</v>
      </c>
      <c r="J1366" s="11">
        <v>45975</v>
      </c>
      <c r="K1366" t="s">
        <v>219</v>
      </c>
    </row>
    <row r="1367" spans="7:11" x14ac:dyDescent="0.3">
      <c r="G1367" t="s">
        <v>448</v>
      </c>
      <c r="H1367" s="1">
        <v>580</v>
      </c>
      <c r="I1367" s="1" t="s">
        <v>467</v>
      </c>
      <c r="J1367" s="11">
        <v>45975</v>
      </c>
      <c r="K1367" t="s">
        <v>405</v>
      </c>
    </row>
    <row r="1368" spans="7:11" x14ac:dyDescent="0.3">
      <c r="G1368" t="s">
        <v>33</v>
      </c>
      <c r="H1368" s="1">
        <v>900</v>
      </c>
      <c r="I1368" s="1" t="s">
        <v>467</v>
      </c>
      <c r="J1368" s="11">
        <v>45975</v>
      </c>
      <c r="K1368" t="s">
        <v>97</v>
      </c>
    </row>
    <row r="1369" spans="7:11" x14ac:dyDescent="0.3">
      <c r="G1369" t="s">
        <v>33</v>
      </c>
      <c r="H1369" s="1">
        <v>900</v>
      </c>
      <c r="I1369" s="1" t="s">
        <v>467</v>
      </c>
      <c r="J1369" s="11">
        <v>45975</v>
      </c>
      <c r="K1369" t="s">
        <v>97</v>
      </c>
    </row>
    <row r="1370" spans="7:11" x14ac:dyDescent="0.3">
      <c r="G1370" t="s">
        <v>480</v>
      </c>
      <c r="H1370" s="1">
        <v>440</v>
      </c>
      <c r="I1370" s="1" t="s">
        <v>467</v>
      </c>
      <c r="J1370" s="11">
        <v>45975</v>
      </c>
      <c r="K1370" t="s">
        <v>270</v>
      </c>
    </row>
    <row r="1371" spans="7:11" x14ac:dyDescent="0.3">
      <c r="G1371" t="s">
        <v>446</v>
      </c>
      <c r="H1371" s="1">
        <v>815</v>
      </c>
      <c r="I1371" s="1" t="s">
        <v>467</v>
      </c>
      <c r="J1371" s="11">
        <v>45975</v>
      </c>
      <c r="K1371" t="s">
        <v>270</v>
      </c>
    </row>
    <row r="1372" spans="7:11" x14ac:dyDescent="0.3">
      <c r="G1372" t="s">
        <v>20</v>
      </c>
      <c r="H1372" s="1">
        <v>80</v>
      </c>
      <c r="I1372" s="1" t="s">
        <v>467</v>
      </c>
      <c r="J1372" s="11">
        <v>45975</v>
      </c>
      <c r="K1372" t="s">
        <v>275</v>
      </c>
    </row>
    <row r="1373" spans="7:11" x14ac:dyDescent="0.3">
      <c r="G1373" t="s">
        <v>435</v>
      </c>
      <c r="H1373" s="1">
        <v>50</v>
      </c>
      <c r="I1373" s="1" t="s">
        <v>467</v>
      </c>
      <c r="J1373" s="11">
        <v>45975</v>
      </c>
      <c r="K1373" t="s">
        <v>275</v>
      </c>
    </row>
    <row r="1374" spans="7:11" x14ac:dyDescent="0.3">
      <c r="G1374" t="s">
        <v>243</v>
      </c>
      <c r="H1374" s="1">
        <v>860</v>
      </c>
      <c r="I1374" s="1" t="s">
        <v>467</v>
      </c>
      <c r="J1374" s="11">
        <v>45975</v>
      </c>
      <c r="K1374" t="s">
        <v>95</v>
      </c>
    </row>
    <row r="1375" spans="7:11" x14ac:dyDescent="0.3">
      <c r="G1375" t="s">
        <v>322</v>
      </c>
      <c r="H1375" s="1">
        <v>170</v>
      </c>
      <c r="I1375" s="1" t="s">
        <v>467</v>
      </c>
      <c r="J1375" s="11">
        <v>45976</v>
      </c>
      <c r="K1375" t="s">
        <v>205</v>
      </c>
    </row>
    <row r="1376" spans="7:11" x14ac:dyDescent="0.3">
      <c r="G1376" t="s">
        <v>484</v>
      </c>
      <c r="H1376" s="1">
        <v>70</v>
      </c>
      <c r="I1376" s="1" t="s">
        <v>467</v>
      </c>
      <c r="J1376" s="11">
        <v>45976</v>
      </c>
      <c r="K1376" t="s">
        <v>97</v>
      </c>
    </row>
    <row r="1377" spans="7:11" x14ac:dyDescent="0.3">
      <c r="G1377" t="s">
        <v>486</v>
      </c>
      <c r="H1377" s="1">
        <v>130</v>
      </c>
      <c r="I1377" s="1" t="s">
        <v>467</v>
      </c>
      <c r="J1377" s="11">
        <v>45976</v>
      </c>
      <c r="K1377" t="s">
        <v>97</v>
      </c>
    </row>
    <row r="1378" spans="7:11" x14ac:dyDescent="0.3">
      <c r="G1378" t="s">
        <v>481</v>
      </c>
      <c r="H1378" s="1">
        <v>74.5</v>
      </c>
      <c r="I1378" s="1" t="s">
        <v>467</v>
      </c>
      <c r="J1378" s="11">
        <v>45976</v>
      </c>
      <c r="K1378" t="s">
        <v>97</v>
      </c>
    </row>
    <row r="1379" spans="7:11" x14ac:dyDescent="0.3">
      <c r="G1379" t="s">
        <v>370</v>
      </c>
      <c r="H1379" s="1">
        <v>105</v>
      </c>
      <c r="I1379" s="1" t="s">
        <v>467</v>
      </c>
      <c r="J1379" s="11">
        <v>45976</v>
      </c>
      <c r="K1379" t="s">
        <v>90</v>
      </c>
    </row>
    <row r="1380" spans="7:11" x14ac:dyDescent="0.3">
      <c r="G1380" t="s">
        <v>482</v>
      </c>
      <c r="H1380" s="1">
        <v>440</v>
      </c>
      <c r="I1380" s="1" t="s">
        <v>467</v>
      </c>
      <c r="J1380" s="11">
        <v>45976</v>
      </c>
      <c r="K1380" t="s">
        <v>90</v>
      </c>
    </row>
    <row r="1381" spans="7:11" x14ac:dyDescent="0.3">
      <c r="G1381" t="s">
        <v>485</v>
      </c>
      <c r="H1381" s="1">
        <v>1220</v>
      </c>
      <c r="I1381" s="1" t="s">
        <v>467</v>
      </c>
      <c r="J1381" s="11">
        <v>45976</v>
      </c>
      <c r="K1381" t="s">
        <v>90</v>
      </c>
    </row>
    <row r="1382" spans="7:11" x14ac:dyDescent="0.3">
      <c r="G1382" t="s">
        <v>349</v>
      </c>
      <c r="H1382" s="1">
        <v>575</v>
      </c>
      <c r="I1382" s="1" t="s">
        <v>467</v>
      </c>
      <c r="J1382" s="11">
        <v>45976</v>
      </c>
      <c r="K1382" t="s">
        <v>90</v>
      </c>
    </row>
    <row r="1383" spans="7:11" x14ac:dyDescent="0.3">
      <c r="G1383" t="s">
        <v>483</v>
      </c>
      <c r="H1383" s="1">
        <v>200</v>
      </c>
      <c r="I1383" s="1" t="s">
        <v>467</v>
      </c>
      <c r="J1383" s="11">
        <v>45976</v>
      </c>
      <c r="K1383" t="s">
        <v>411</v>
      </c>
    </row>
    <row r="1384" spans="7:11" x14ac:dyDescent="0.3">
      <c r="G1384" t="s">
        <v>478</v>
      </c>
      <c r="H1384" s="1">
        <v>6066</v>
      </c>
      <c r="I1384" s="1" t="s">
        <v>467</v>
      </c>
      <c r="J1384" s="11">
        <v>45978</v>
      </c>
      <c r="K1384" t="s">
        <v>94</v>
      </c>
    </row>
    <row r="1385" spans="7:11" x14ac:dyDescent="0.3">
      <c r="G1385" t="s">
        <v>486</v>
      </c>
      <c r="H1385" s="1">
        <v>720</v>
      </c>
      <c r="I1385" s="1" t="s">
        <v>467</v>
      </c>
      <c r="J1385" s="11">
        <v>45978</v>
      </c>
      <c r="K1385" t="s">
        <v>97</v>
      </c>
    </row>
    <row r="1386" spans="7:11" x14ac:dyDescent="0.3">
      <c r="G1386" t="s">
        <v>420</v>
      </c>
      <c r="H1386" s="1">
        <v>110</v>
      </c>
      <c r="I1386" s="1" t="s">
        <v>467</v>
      </c>
      <c r="J1386" s="11">
        <v>45978</v>
      </c>
      <c r="K1386" t="s">
        <v>90</v>
      </c>
    </row>
    <row r="1387" spans="7:11" x14ac:dyDescent="0.3">
      <c r="G1387" t="s">
        <v>420</v>
      </c>
      <c r="H1387" s="1">
        <v>1527</v>
      </c>
      <c r="I1387" s="1" t="s">
        <v>467</v>
      </c>
      <c r="J1387" s="11">
        <v>45978</v>
      </c>
      <c r="K1387" t="s">
        <v>90</v>
      </c>
    </row>
    <row r="1388" spans="7:11" x14ac:dyDescent="0.3">
      <c r="G1388" t="s">
        <v>361</v>
      </c>
      <c r="H1388" s="1">
        <v>680</v>
      </c>
      <c r="I1388" s="1" t="s">
        <v>467</v>
      </c>
      <c r="J1388" s="11">
        <v>45978</v>
      </c>
      <c r="K1388" t="s">
        <v>90</v>
      </c>
    </row>
    <row r="1389" spans="7:11" x14ac:dyDescent="0.3">
      <c r="G1389" t="s">
        <v>223</v>
      </c>
      <c r="H1389" s="1">
        <v>270</v>
      </c>
      <c r="I1389" s="1" t="s">
        <v>467</v>
      </c>
      <c r="J1389" s="11">
        <v>45978</v>
      </c>
      <c r="K1389" t="s">
        <v>411</v>
      </c>
    </row>
    <row r="1390" spans="7:11" x14ac:dyDescent="0.3">
      <c r="G1390" t="s">
        <v>229</v>
      </c>
      <c r="H1390" s="1">
        <v>280</v>
      </c>
      <c r="I1390" s="1" t="s">
        <v>467</v>
      </c>
      <c r="J1390" s="11">
        <v>45978</v>
      </c>
      <c r="K1390" t="s">
        <v>95</v>
      </c>
    </row>
    <row r="1391" spans="7:11" x14ac:dyDescent="0.3">
      <c r="G1391" t="s">
        <v>243</v>
      </c>
      <c r="H1391" s="1">
        <v>120</v>
      </c>
      <c r="I1391" s="1" t="s">
        <v>467</v>
      </c>
      <c r="J1391" s="11">
        <v>45978</v>
      </c>
      <c r="K1391" t="s">
        <v>95</v>
      </c>
    </row>
    <row r="1392" spans="7:11" x14ac:dyDescent="0.3">
      <c r="G1392" t="s">
        <v>49</v>
      </c>
      <c r="H1392" s="1">
        <v>605</v>
      </c>
      <c r="I1392" s="1" t="s">
        <v>467</v>
      </c>
      <c r="J1392" s="11">
        <v>45978</v>
      </c>
      <c r="K1392" t="s">
        <v>95</v>
      </c>
    </row>
    <row r="1393" spans="7:11" x14ac:dyDescent="0.3">
      <c r="G1393" t="s">
        <v>49</v>
      </c>
      <c r="H1393" s="1">
        <v>225</v>
      </c>
      <c r="I1393" s="1" t="s">
        <v>467</v>
      </c>
      <c r="J1393" s="11">
        <v>45978</v>
      </c>
      <c r="K1393" t="s">
        <v>95</v>
      </c>
    </row>
    <row r="1394" spans="7:11" x14ac:dyDescent="0.3">
      <c r="G1394" t="s">
        <v>298</v>
      </c>
      <c r="H1394" s="1">
        <v>1140</v>
      </c>
      <c r="I1394" s="1" t="s">
        <v>467</v>
      </c>
      <c r="J1394" s="11">
        <v>45979</v>
      </c>
      <c r="K1394" t="s">
        <v>466</v>
      </c>
    </row>
    <row r="1395" spans="7:11" x14ac:dyDescent="0.3">
      <c r="G1395" t="s">
        <v>60</v>
      </c>
      <c r="H1395" s="1">
        <v>20</v>
      </c>
      <c r="I1395" s="1" t="s">
        <v>467</v>
      </c>
      <c r="J1395" s="11">
        <v>45979</v>
      </c>
      <c r="K1395" t="s">
        <v>96</v>
      </c>
    </row>
    <row r="1396" spans="7:11" x14ac:dyDescent="0.3">
      <c r="G1396" t="s">
        <v>170</v>
      </c>
      <c r="H1396" s="1">
        <v>270</v>
      </c>
      <c r="I1396" s="1" t="s">
        <v>467</v>
      </c>
      <c r="J1396" s="11">
        <v>45979</v>
      </c>
      <c r="K1396" t="s">
        <v>170</v>
      </c>
    </row>
    <row r="1397" spans="7:11" x14ac:dyDescent="0.3">
      <c r="G1397" t="s">
        <v>487</v>
      </c>
      <c r="H1397" s="1">
        <v>225</v>
      </c>
      <c r="I1397" s="1" t="s">
        <v>467</v>
      </c>
      <c r="J1397" s="11">
        <v>45979</v>
      </c>
      <c r="K1397" t="s">
        <v>97</v>
      </c>
    </row>
    <row r="1398" spans="7:11" x14ac:dyDescent="0.3">
      <c r="G1398" t="s">
        <v>372</v>
      </c>
      <c r="H1398" s="1">
        <v>1210</v>
      </c>
      <c r="I1398" s="1" t="s">
        <v>467</v>
      </c>
      <c r="J1398" s="11">
        <v>45979</v>
      </c>
      <c r="K1398" t="s">
        <v>90</v>
      </c>
    </row>
    <row r="1399" spans="7:11" x14ac:dyDescent="0.3">
      <c r="G1399" t="s">
        <v>374</v>
      </c>
      <c r="H1399" s="1">
        <v>925</v>
      </c>
      <c r="I1399" s="1" t="s">
        <v>467</v>
      </c>
      <c r="J1399" s="11">
        <v>45979</v>
      </c>
      <c r="K1399" t="s">
        <v>90</v>
      </c>
    </row>
    <row r="1400" spans="7:11" x14ac:dyDescent="0.3">
      <c r="G1400" t="s">
        <v>446</v>
      </c>
      <c r="H1400" s="1">
        <v>880</v>
      </c>
      <c r="I1400" s="1" t="s">
        <v>467</v>
      </c>
      <c r="J1400" s="11">
        <v>45979</v>
      </c>
      <c r="K1400" t="s">
        <v>90</v>
      </c>
    </row>
    <row r="1401" spans="7:11" x14ac:dyDescent="0.3">
      <c r="G1401" t="s">
        <v>229</v>
      </c>
      <c r="H1401" s="1">
        <v>280</v>
      </c>
      <c r="I1401" s="1" t="s">
        <v>467</v>
      </c>
      <c r="J1401" s="11">
        <v>45979</v>
      </c>
      <c r="K1401" t="s">
        <v>95</v>
      </c>
    </row>
    <row r="1402" spans="7:11" x14ac:dyDescent="0.3">
      <c r="G1402" t="s">
        <v>417</v>
      </c>
      <c r="H1402" s="1">
        <v>4895</v>
      </c>
      <c r="I1402" s="1" t="s">
        <v>467</v>
      </c>
      <c r="J1402" s="11">
        <v>45979</v>
      </c>
      <c r="K1402" t="s">
        <v>95</v>
      </c>
    </row>
    <row r="1403" spans="7:11" x14ac:dyDescent="0.3">
      <c r="G1403" t="s">
        <v>243</v>
      </c>
      <c r="H1403" s="1">
        <v>430</v>
      </c>
      <c r="I1403" s="1" t="s">
        <v>467</v>
      </c>
      <c r="J1403" s="11">
        <v>45979</v>
      </c>
      <c r="K1403" t="s">
        <v>95</v>
      </c>
    </row>
    <row r="1404" spans="7:11" x14ac:dyDescent="0.3">
      <c r="G1404" t="s">
        <v>149</v>
      </c>
      <c r="H1404" s="1">
        <v>850</v>
      </c>
      <c r="I1404" s="1" t="s">
        <v>467</v>
      </c>
      <c r="J1404" s="11">
        <v>45980</v>
      </c>
      <c r="K1404" t="s">
        <v>210</v>
      </c>
    </row>
    <row r="1405" spans="7:11" x14ac:dyDescent="0.3">
      <c r="G1405" t="s">
        <v>149</v>
      </c>
      <c r="H1405" s="1">
        <v>990</v>
      </c>
      <c r="I1405" s="1" t="s">
        <v>467</v>
      </c>
      <c r="J1405" s="11">
        <v>45980</v>
      </c>
      <c r="K1405" t="s">
        <v>210</v>
      </c>
    </row>
    <row r="1406" spans="7:11" x14ac:dyDescent="0.3">
      <c r="G1406" t="s">
        <v>488</v>
      </c>
      <c r="H1406" s="1">
        <v>30</v>
      </c>
      <c r="I1406" s="1" t="s">
        <v>467</v>
      </c>
      <c r="J1406" s="11">
        <v>45980</v>
      </c>
      <c r="K1406" t="s">
        <v>96</v>
      </c>
    </row>
    <row r="1407" spans="7:11" x14ac:dyDescent="0.3">
      <c r="G1407" t="s">
        <v>353</v>
      </c>
      <c r="H1407" s="1">
        <v>1170</v>
      </c>
      <c r="I1407" s="1" t="s">
        <v>467</v>
      </c>
      <c r="J1407" s="11">
        <v>45980</v>
      </c>
      <c r="K1407" t="s">
        <v>90</v>
      </c>
    </row>
    <row r="1408" spans="7:11" x14ac:dyDescent="0.3">
      <c r="G1408" t="s">
        <v>420</v>
      </c>
      <c r="H1408" s="1">
        <v>705</v>
      </c>
      <c r="I1408" s="1" t="s">
        <v>467</v>
      </c>
      <c r="J1408" s="11">
        <v>45980</v>
      </c>
      <c r="K1408" t="s">
        <v>90</v>
      </c>
    </row>
    <row r="1409" spans="7:11" x14ac:dyDescent="0.3">
      <c r="G1409" t="s">
        <v>357</v>
      </c>
      <c r="H1409" s="1">
        <v>730</v>
      </c>
      <c r="I1409" s="1" t="s">
        <v>467</v>
      </c>
      <c r="J1409" s="11">
        <v>45980</v>
      </c>
      <c r="K1409" t="s">
        <v>90</v>
      </c>
    </row>
    <row r="1410" spans="7:11" x14ac:dyDescent="0.3">
      <c r="G1410" t="s">
        <v>443</v>
      </c>
      <c r="H1410" s="1">
        <v>80</v>
      </c>
      <c r="I1410" s="1" t="s">
        <v>467</v>
      </c>
      <c r="J1410" s="11">
        <v>45980</v>
      </c>
      <c r="K1410" t="s">
        <v>95</v>
      </c>
    </row>
    <row r="1411" spans="7:11" x14ac:dyDescent="0.3">
      <c r="G1411" t="s">
        <v>376</v>
      </c>
      <c r="H1411" s="1">
        <v>100</v>
      </c>
      <c r="I1411" s="1" t="s">
        <v>467</v>
      </c>
      <c r="J1411" s="11">
        <v>45981</v>
      </c>
      <c r="K1411" t="s">
        <v>466</v>
      </c>
    </row>
    <row r="1412" spans="7:11" x14ac:dyDescent="0.3">
      <c r="G1412" t="s">
        <v>414</v>
      </c>
      <c r="H1412" s="1">
        <v>825</v>
      </c>
      <c r="I1412" s="1" t="s">
        <v>467</v>
      </c>
      <c r="J1412" s="11">
        <v>45981</v>
      </c>
      <c r="K1412" t="s">
        <v>90</v>
      </c>
    </row>
    <row r="1413" spans="7:11" x14ac:dyDescent="0.3">
      <c r="G1413" t="s">
        <v>420</v>
      </c>
      <c r="H1413" s="1">
        <v>1000</v>
      </c>
      <c r="I1413" s="1" t="s">
        <v>467</v>
      </c>
      <c r="J1413" s="11">
        <v>45981</v>
      </c>
      <c r="K1413" t="s">
        <v>90</v>
      </c>
    </row>
    <row r="1414" spans="7:11" x14ac:dyDescent="0.3">
      <c r="G1414" t="s">
        <v>1</v>
      </c>
      <c r="H1414" s="1">
        <v>1750</v>
      </c>
      <c r="I1414" s="1" t="s">
        <v>467</v>
      </c>
      <c r="J1414" s="11">
        <v>45982</v>
      </c>
      <c r="K1414" t="s">
        <v>1</v>
      </c>
    </row>
    <row r="1415" spans="7:11" x14ac:dyDescent="0.3">
      <c r="G1415" t="s">
        <v>322</v>
      </c>
      <c r="H1415" s="1">
        <v>300</v>
      </c>
      <c r="I1415" s="1" t="s">
        <v>467</v>
      </c>
      <c r="J1415" s="11">
        <v>45982</v>
      </c>
      <c r="K1415" t="s">
        <v>205</v>
      </c>
    </row>
    <row r="1416" spans="7:11" x14ac:dyDescent="0.3">
      <c r="G1416" t="s">
        <v>60</v>
      </c>
      <c r="H1416" s="1">
        <v>20</v>
      </c>
      <c r="I1416" s="1" t="s">
        <v>467</v>
      </c>
      <c r="J1416" s="11">
        <v>45982</v>
      </c>
      <c r="K1416" t="s">
        <v>96</v>
      </c>
    </row>
    <row r="1417" spans="7:11" x14ac:dyDescent="0.3">
      <c r="G1417" t="s">
        <v>32</v>
      </c>
      <c r="H1417" s="1">
        <v>36</v>
      </c>
      <c r="I1417" s="1" t="s">
        <v>467</v>
      </c>
      <c r="J1417" s="11">
        <v>45982</v>
      </c>
      <c r="K1417" t="s">
        <v>97</v>
      </c>
    </row>
    <row r="1418" spans="7:11" x14ac:dyDescent="0.3">
      <c r="G1418" t="s">
        <v>33</v>
      </c>
      <c r="H1418" s="1">
        <v>900</v>
      </c>
      <c r="I1418" s="1" t="s">
        <v>467</v>
      </c>
      <c r="J1418" s="11">
        <v>45982</v>
      </c>
      <c r="K1418" t="s">
        <v>97</v>
      </c>
    </row>
    <row r="1419" spans="7:11" x14ac:dyDescent="0.3">
      <c r="G1419" t="s">
        <v>370</v>
      </c>
      <c r="H1419" s="1">
        <v>245</v>
      </c>
      <c r="I1419" s="1" t="s">
        <v>467</v>
      </c>
      <c r="J1419" s="11">
        <v>45982</v>
      </c>
      <c r="K1419" t="s">
        <v>90</v>
      </c>
    </row>
    <row r="1420" spans="7:11" x14ac:dyDescent="0.3">
      <c r="G1420" t="s">
        <v>446</v>
      </c>
      <c r="H1420" s="1">
        <v>1338</v>
      </c>
      <c r="I1420" s="1" t="s">
        <v>467</v>
      </c>
      <c r="J1420" s="11">
        <v>45982</v>
      </c>
      <c r="K1420" t="s">
        <v>90</v>
      </c>
    </row>
    <row r="1421" spans="7:11" x14ac:dyDescent="0.3">
      <c r="G1421" t="s">
        <v>229</v>
      </c>
      <c r="H1421" s="1">
        <v>280</v>
      </c>
      <c r="I1421" s="1" t="s">
        <v>467</v>
      </c>
      <c r="J1421" s="11">
        <v>45982</v>
      </c>
      <c r="K1421" t="s">
        <v>95</v>
      </c>
    </row>
    <row r="1422" spans="7:11" x14ac:dyDescent="0.3">
      <c r="G1422" t="s">
        <v>229</v>
      </c>
      <c r="H1422" s="1">
        <v>460</v>
      </c>
      <c r="I1422" s="1" t="s">
        <v>467</v>
      </c>
      <c r="J1422" s="11">
        <v>45982</v>
      </c>
      <c r="K1422" t="s">
        <v>95</v>
      </c>
    </row>
    <row r="1423" spans="7:11" x14ac:dyDescent="0.3">
      <c r="G1423" t="s">
        <v>243</v>
      </c>
      <c r="H1423" s="1">
        <v>510</v>
      </c>
      <c r="I1423" s="1" t="s">
        <v>467</v>
      </c>
      <c r="J1423" s="11">
        <v>45982</v>
      </c>
      <c r="K1423" t="s">
        <v>95</v>
      </c>
    </row>
    <row r="1424" spans="7:11" x14ac:dyDescent="0.3">
      <c r="G1424" t="s">
        <v>149</v>
      </c>
      <c r="H1424" s="1">
        <v>615</v>
      </c>
      <c r="I1424" s="1" t="s">
        <v>467</v>
      </c>
      <c r="J1424" s="11">
        <v>45983</v>
      </c>
      <c r="K1424" t="s">
        <v>210</v>
      </c>
    </row>
    <row r="1425" spans="7:11" x14ac:dyDescent="0.3">
      <c r="G1425" t="s">
        <v>149</v>
      </c>
      <c r="H1425" s="1">
        <v>40</v>
      </c>
      <c r="I1425" s="1" t="s">
        <v>467</v>
      </c>
      <c r="J1425" s="11">
        <v>45985</v>
      </c>
      <c r="K1425" t="s">
        <v>210</v>
      </c>
    </row>
    <row r="1426" spans="7:11" x14ac:dyDescent="0.3">
      <c r="G1426" t="s">
        <v>362</v>
      </c>
      <c r="H1426" s="1">
        <v>280</v>
      </c>
      <c r="I1426" s="1" t="s">
        <v>467</v>
      </c>
      <c r="J1426" s="11">
        <v>45985</v>
      </c>
      <c r="K1426" t="s">
        <v>90</v>
      </c>
    </row>
    <row r="1427" spans="7:11" x14ac:dyDescent="0.3">
      <c r="G1427" t="s">
        <v>420</v>
      </c>
      <c r="H1427" s="1">
        <v>2364</v>
      </c>
      <c r="I1427" s="1" t="s">
        <v>467</v>
      </c>
      <c r="J1427" s="11">
        <v>45985</v>
      </c>
      <c r="K1427" t="s">
        <v>90</v>
      </c>
    </row>
    <row r="1428" spans="7:11" x14ac:dyDescent="0.3">
      <c r="G1428" t="s">
        <v>420</v>
      </c>
      <c r="H1428" s="1">
        <v>220</v>
      </c>
      <c r="I1428" s="1" t="s">
        <v>467</v>
      </c>
      <c r="J1428" s="11">
        <v>45985</v>
      </c>
      <c r="K1428" t="s">
        <v>90</v>
      </c>
    </row>
    <row r="1429" spans="7:11" x14ac:dyDescent="0.3">
      <c r="G1429" t="s">
        <v>361</v>
      </c>
      <c r="H1429" s="1">
        <v>360</v>
      </c>
      <c r="I1429" s="1" t="s">
        <v>467</v>
      </c>
      <c r="J1429" s="11">
        <v>45985</v>
      </c>
      <c r="K1429" t="s">
        <v>90</v>
      </c>
    </row>
    <row r="1430" spans="7:11" x14ac:dyDescent="0.3">
      <c r="G1430" t="s">
        <v>456</v>
      </c>
      <c r="H1430" s="1">
        <v>620</v>
      </c>
      <c r="I1430" s="1" t="s">
        <v>467</v>
      </c>
      <c r="J1430" s="11">
        <v>45985</v>
      </c>
      <c r="K1430" t="s">
        <v>90</v>
      </c>
    </row>
    <row r="1431" spans="7:11" x14ac:dyDescent="0.3">
      <c r="G1431" t="s">
        <v>349</v>
      </c>
      <c r="H1431" s="1">
        <v>1130</v>
      </c>
      <c r="I1431" s="1" t="s">
        <v>467</v>
      </c>
      <c r="J1431" s="11">
        <v>45985</v>
      </c>
      <c r="K1431" t="s">
        <v>90</v>
      </c>
    </row>
    <row r="1432" spans="7:11" x14ac:dyDescent="0.3">
      <c r="G1432" t="s">
        <v>243</v>
      </c>
      <c r="H1432" s="1">
        <v>490</v>
      </c>
      <c r="I1432" s="1" t="s">
        <v>467</v>
      </c>
      <c r="J1432" s="11">
        <v>45985</v>
      </c>
      <c r="K1432" t="s">
        <v>95</v>
      </c>
    </row>
    <row r="1433" spans="7:11" x14ac:dyDescent="0.3">
      <c r="G1433" t="s">
        <v>437</v>
      </c>
      <c r="H1433" s="1">
        <v>1500</v>
      </c>
      <c r="I1433" s="1" t="s">
        <v>467</v>
      </c>
      <c r="J1433" s="11">
        <v>45986</v>
      </c>
      <c r="K1433" t="s">
        <v>96</v>
      </c>
    </row>
    <row r="1434" spans="7:11" x14ac:dyDescent="0.3">
      <c r="G1434" t="s">
        <v>362</v>
      </c>
      <c r="H1434" s="1">
        <v>1200</v>
      </c>
      <c r="I1434" s="1" t="s">
        <v>467</v>
      </c>
      <c r="J1434" s="11">
        <v>45986</v>
      </c>
      <c r="K1434" t="s">
        <v>90</v>
      </c>
    </row>
    <row r="1435" spans="7:11" x14ac:dyDescent="0.3">
      <c r="G1435" t="s">
        <v>229</v>
      </c>
      <c r="H1435" s="1">
        <v>560</v>
      </c>
      <c r="I1435" s="1" t="s">
        <v>467</v>
      </c>
      <c r="J1435" s="11">
        <v>45986</v>
      </c>
      <c r="K1435" t="s">
        <v>95</v>
      </c>
    </row>
    <row r="1436" spans="7:11" x14ac:dyDescent="0.3">
      <c r="G1436" t="s">
        <v>243</v>
      </c>
      <c r="H1436" s="1">
        <v>80</v>
      </c>
      <c r="I1436" s="1" t="s">
        <v>467</v>
      </c>
      <c r="J1436" s="11">
        <v>45986</v>
      </c>
      <c r="K1436" t="s">
        <v>95</v>
      </c>
    </row>
    <row r="1437" spans="7:11" x14ac:dyDescent="0.3">
      <c r="G1437" t="s">
        <v>162</v>
      </c>
      <c r="H1437" s="1">
        <v>1232.8699999999999</v>
      </c>
      <c r="I1437" s="1" t="s">
        <v>467</v>
      </c>
      <c r="J1437" s="11">
        <v>45987</v>
      </c>
      <c r="K1437" t="s">
        <v>162</v>
      </c>
    </row>
    <row r="1438" spans="7:11" x14ac:dyDescent="0.3">
      <c r="G1438" t="s">
        <v>474</v>
      </c>
      <c r="H1438" s="1">
        <v>41</v>
      </c>
      <c r="I1438" s="1" t="s">
        <v>467</v>
      </c>
      <c r="J1438" s="11">
        <v>45987</v>
      </c>
      <c r="K1438" t="s">
        <v>96</v>
      </c>
    </row>
    <row r="1439" spans="7:11" x14ac:dyDescent="0.3">
      <c r="G1439" t="s">
        <v>353</v>
      </c>
      <c r="H1439" s="1">
        <v>1105</v>
      </c>
      <c r="I1439" s="1" t="s">
        <v>467</v>
      </c>
      <c r="J1439" s="11">
        <v>45987</v>
      </c>
      <c r="K1439" t="s">
        <v>270</v>
      </c>
    </row>
    <row r="1440" spans="7:11" x14ac:dyDescent="0.3">
      <c r="G1440" t="s">
        <v>386</v>
      </c>
      <c r="H1440" s="1">
        <v>450</v>
      </c>
      <c r="I1440" s="1" t="s">
        <v>467</v>
      </c>
      <c r="J1440" s="11">
        <v>45987</v>
      </c>
      <c r="K1440" t="s">
        <v>270</v>
      </c>
    </row>
    <row r="1441" spans="7:11" x14ac:dyDescent="0.3">
      <c r="G1441" t="s">
        <v>420</v>
      </c>
      <c r="H1441" s="1">
        <v>775</v>
      </c>
      <c r="I1441" s="1" t="s">
        <v>467</v>
      </c>
      <c r="J1441" s="11">
        <v>45987</v>
      </c>
      <c r="K1441" t="s">
        <v>270</v>
      </c>
    </row>
    <row r="1442" spans="7:11" x14ac:dyDescent="0.3">
      <c r="G1442" t="s">
        <v>243</v>
      </c>
      <c r="H1442" s="1">
        <v>40</v>
      </c>
      <c r="I1442" s="1" t="s">
        <v>467</v>
      </c>
      <c r="J1442" s="11">
        <v>45987</v>
      </c>
      <c r="K1442" t="s">
        <v>95</v>
      </c>
    </row>
    <row r="1443" spans="7:11" x14ac:dyDescent="0.3">
      <c r="G1443" t="s">
        <v>491</v>
      </c>
      <c r="H1443" s="1">
        <v>20</v>
      </c>
      <c r="I1443" s="1" t="s">
        <v>467</v>
      </c>
      <c r="J1443" s="11">
        <v>45988</v>
      </c>
      <c r="K1443" t="s">
        <v>96</v>
      </c>
    </row>
    <row r="1444" spans="7:11" x14ac:dyDescent="0.3">
      <c r="G1444" t="s">
        <v>489</v>
      </c>
      <c r="H1444" s="1">
        <v>250</v>
      </c>
      <c r="I1444" s="1" t="s">
        <v>467</v>
      </c>
      <c r="J1444" s="11">
        <v>45988</v>
      </c>
      <c r="K1444" t="s">
        <v>97</v>
      </c>
    </row>
    <row r="1445" spans="7:11" x14ac:dyDescent="0.3">
      <c r="G1445" t="s">
        <v>490</v>
      </c>
      <c r="H1445" s="1">
        <v>600</v>
      </c>
      <c r="I1445" s="1" t="s">
        <v>467</v>
      </c>
      <c r="J1445" s="11">
        <v>45988</v>
      </c>
      <c r="K1445" t="s">
        <v>270</v>
      </c>
    </row>
    <row r="1446" spans="7:11" x14ac:dyDescent="0.3">
      <c r="G1446" t="s">
        <v>357</v>
      </c>
      <c r="H1446" s="1">
        <v>670</v>
      </c>
      <c r="I1446" s="1" t="s">
        <v>467</v>
      </c>
      <c r="J1446" s="11">
        <v>45988</v>
      </c>
      <c r="K1446" t="s">
        <v>270</v>
      </c>
    </row>
    <row r="1447" spans="7:11" x14ac:dyDescent="0.3">
      <c r="G1447" t="s">
        <v>492</v>
      </c>
      <c r="H1447" s="1">
        <v>295</v>
      </c>
      <c r="I1447" s="1" t="s">
        <v>467</v>
      </c>
      <c r="J1447" s="11">
        <v>45989</v>
      </c>
      <c r="K1447" t="s">
        <v>161</v>
      </c>
    </row>
    <row r="1448" spans="7:11" x14ac:dyDescent="0.3">
      <c r="G1448" t="s">
        <v>430</v>
      </c>
      <c r="H1448" s="1">
        <v>426.75</v>
      </c>
      <c r="I1448" s="1" t="s">
        <v>467</v>
      </c>
      <c r="J1448" s="11">
        <v>45989</v>
      </c>
      <c r="K1448" t="s">
        <v>466</v>
      </c>
    </row>
    <row r="1449" spans="7:11" x14ac:dyDescent="0.3">
      <c r="G1449" t="s">
        <v>376</v>
      </c>
      <c r="H1449" s="1">
        <v>332.93</v>
      </c>
      <c r="I1449" s="1" t="s">
        <v>467</v>
      </c>
      <c r="J1449" s="11">
        <v>45989</v>
      </c>
      <c r="K1449" t="s">
        <v>466</v>
      </c>
    </row>
    <row r="1450" spans="7:11" x14ac:dyDescent="0.3">
      <c r="G1450" t="s">
        <v>33</v>
      </c>
      <c r="H1450" s="1">
        <v>900</v>
      </c>
      <c r="I1450" s="1" t="s">
        <v>467</v>
      </c>
      <c r="J1450" s="11">
        <v>45989</v>
      </c>
      <c r="K1450" t="s">
        <v>97</v>
      </c>
    </row>
    <row r="1451" spans="7:11" x14ac:dyDescent="0.3">
      <c r="G1451" t="s">
        <v>362</v>
      </c>
      <c r="H1451" s="1">
        <v>240</v>
      </c>
      <c r="I1451" s="1" t="s">
        <v>467</v>
      </c>
      <c r="J1451" s="11">
        <v>45989</v>
      </c>
      <c r="K1451" t="s">
        <v>270</v>
      </c>
    </row>
    <row r="1452" spans="7:11" x14ac:dyDescent="0.3">
      <c r="G1452" t="s">
        <v>401</v>
      </c>
      <c r="H1452" s="1">
        <v>160</v>
      </c>
      <c r="I1452" s="1" t="s">
        <v>467</v>
      </c>
      <c r="J1452" s="11">
        <v>45989</v>
      </c>
      <c r="K1452" t="s">
        <v>270</v>
      </c>
    </row>
    <row r="1453" spans="7:11" x14ac:dyDescent="0.3">
      <c r="G1453" t="s">
        <v>493</v>
      </c>
      <c r="H1453" s="1">
        <v>100</v>
      </c>
      <c r="I1453" s="1" t="s">
        <v>467</v>
      </c>
      <c r="J1453" s="11">
        <v>45989</v>
      </c>
      <c r="K1453" t="s">
        <v>95</v>
      </c>
    </row>
    <row r="1454" spans="7:11" x14ac:dyDescent="0.3">
      <c r="G1454" t="s">
        <v>229</v>
      </c>
      <c r="H1454" s="1">
        <v>280</v>
      </c>
      <c r="I1454" s="1" t="s">
        <v>467</v>
      </c>
      <c r="J1454" s="11">
        <v>45989</v>
      </c>
      <c r="K1454" t="s">
        <v>95</v>
      </c>
    </row>
    <row r="1455" spans="7:11" x14ac:dyDescent="0.3">
      <c r="G1455" t="s">
        <v>229</v>
      </c>
      <c r="H1455" s="1">
        <v>740</v>
      </c>
      <c r="I1455" s="1" t="s">
        <v>467</v>
      </c>
      <c r="J1455" s="11">
        <v>45989</v>
      </c>
      <c r="K1455" t="s">
        <v>95</v>
      </c>
    </row>
    <row r="1456" spans="7:11" x14ac:dyDescent="0.3">
      <c r="G1456" t="s">
        <v>243</v>
      </c>
      <c r="H1456" s="1">
        <v>80</v>
      </c>
      <c r="I1456" s="1" t="s">
        <v>467</v>
      </c>
      <c r="J1456" s="11">
        <v>45989</v>
      </c>
      <c r="K1456" t="s">
        <v>95</v>
      </c>
    </row>
    <row r="1457" spans="7:11" x14ac:dyDescent="0.3">
      <c r="G1457" t="s">
        <v>322</v>
      </c>
      <c r="H1457" s="1">
        <v>230</v>
      </c>
      <c r="I1457" s="1" t="s">
        <v>467</v>
      </c>
      <c r="J1457" s="11">
        <v>45990</v>
      </c>
      <c r="K1457" t="s">
        <v>205</v>
      </c>
    </row>
    <row r="1458" spans="7:11" x14ac:dyDescent="0.3">
      <c r="G1458" t="s">
        <v>434</v>
      </c>
      <c r="H1458" s="1">
        <v>600</v>
      </c>
      <c r="I1458" s="1" t="s">
        <v>467</v>
      </c>
      <c r="J1458" s="11">
        <v>45990</v>
      </c>
      <c r="K1458" t="s">
        <v>270</v>
      </c>
    </row>
    <row r="1459" spans="7:11" x14ac:dyDescent="0.3">
      <c r="G1459" t="s">
        <v>414</v>
      </c>
      <c r="H1459" s="1">
        <v>1105</v>
      </c>
      <c r="I1459" s="1" t="s">
        <v>467</v>
      </c>
      <c r="J1459" s="11">
        <v>45990</v>
      </c>
      <c r="K1459" t="s">
        <v>270</v>
      </c>
    </row>
    <row r="1460" spans="7:11" x14ac:dyDescent="0.3">
      <c r="G1460" t="s">
        <v>349</v>
      </c>
      <c r="H1460" s="1">
        <v>1745</v>
      </c>
      <c r="I1460" s="1" t="s">
        <v>467</v>
      </c>
      <c r="J1460" s="11">
        <v>45990</v>
      </c>
      <c r="K1460" t="s">
        <v>270</v>
      </c>
    </row>
    <row r="1461" spans="7:11" x14ac:dyDescent="0.3">
      <c r="G1461" t="s">
        <v>229</v>
      </c>
      <c r="H1461" s="1">
        <v>280</v>
      </c>
      <c r="I1461" s="1" t="s">
        <v>467</v>
      </c>
      <c r="J1461" s="11">
        <v>45990</v>
      </c>
      <c r="K1461" t="s">
        <v>95</v>
      </c>
    </row>
    <row r="1462" spans="7:11" x14ac:dyDescent="0.3">
      <c r="G1462" t="s">
        <v>149</v>
      </c>
      <c r="H1462" s="1">
        <v>40</v>
      </c>
      <c r="I1462" s="1" t="s">
        <v>494</v>
      </c>
      <c r="J1462" s="11">
        <v>45992</v>
      </c>
      <c r="K1462" t="s">
        <v>210</v>
      </c>
    </row>
    <row r="1463" spans="7:11" x14ac:dyDescent="0.3">
      <c r="G1463" t="s">
        <v>298</v>
      </c>
      <c r="H1463" s="1">
        <v>2060</v>
      </c>
      <c r="I1463" s="1" t="s">
        <v>494</v>
      </c>
      <c r="J1463" s="11">
        <v>45992</v>
      </c>
      <c r="K1463" t="s">
        <v>466</v>
      </c>
    </row>
    <row r="1464" spans="7:11" x14ac:dyDescent="0.3">
      <c r="G1464" t="s">
        <v>456</v>
      </c>
      <c r="H1464" s="1">
        <v>360</v>
      </c>
      <c r="I1464" s="1" t="s">
        <v>494</v>
      </c>
      <c r="J1464" s="11">
        <v>45992</v>
      </c>
      <c r="K1464" t="s">
        <v>270</v>
      </c>
    </row>
    <row r="1465" spans="7:11" x14ac:dyDescent="0.3">
      <c r="G1465" t="s">
        <v>149</v>
      </c>
      <c r="H1465" s="1">
        <v>40</v>
      </c>
      <c r="I1465" s="1" t="s">
        <v>494</v>
      </c>
      <c r="J1465" s="11">
        <v>45992</v>
      </c>
      <c r="K1465" t="s">
        <v>210</v>
      </c>
    </row>
    <row r="1466" spans="7:11" x14ac:dyDescent="0.3">
      <c r="G1466" t="s">
        <v>33</v>
      </c>
      <c r="H1466" s="1">
        <v>1528</v>
      </c>
      <c r="I1466" s="1" t="s">
        <v>494</v>
      </c>
      <c r="J1466" s="11">
        <v>45992</v>
      </c>
      <c r="K1466" t="s">
        <v>97</v>
      </c>
    </row>
    <row r="1467" spans="7:11" x14ac:dyDescent="0.3">
      <c r="G1467" t="s">
        <v>495</v>
      </c>
      <c r="H1467" s="1">
        <v>40</v>
      </c>
      <c r="I1467" s="1" t="s">
        <v>494</v>
      </c>
      <c r="J1467" s="11">
        <v>45992</v>
      </c>
      <c r="K1467" t="s">
        <v>95</v>
      </c>
    </row>
    <row r="1468" spans="7:11" x14ac:dyDescent="0.3">
      <c r="G1468" t="s">
        <v>169</v>
      </c>
      <c r="H1468" s="1">
        <v>140</v>
      </c>
      <c r="I1468" s="1" t="s">
        <v>494</v>
      </c>
      <c r="J1468" s="11">
        <v>45992</v>
      </c>
      <c r="K1468" t="s">
        <v>96</v>
      </c>
    </row>
    <row r="1469" spans="7:11" x14ac:dyDescent="0.3">
      <c r="G1469" t="s">
        <v>169</v>
      </c>
      <c r="H1469" s="1">
        <v>14</v>
      </c>
      <c r="I1469" s="1" t="s">
        <v>494</v>
      </c>
      <c r="J1469" s="11">
        <v>45992</v>
      </c>
      <c r="K1469" t="s">
        <v>96</v>
      </c>
    </row>
    <row r="1470" spans="7:11" x14ac:dyDescent="0.3">
      <c r="G1470" t="s">
        <v>420</v>
      </c>
      <c r="H1470" s="1">
        <v>220</v>
      </c>
      <c r="I1470" s="1" t="s">
        <v>494</v>
      </c>
      <c r="J1470" s="11">
        <v>45992</v>
      </c>
      <c r="K1470" t="s">
        <v>270</v>
      </c>
    </row>
    <row r="1471" spans="7:11" x14ac:dyDescent="0.3">
      <c r="G1471" t="s">
        <v>361</v>
      </c>
      <c r="H1471" s="1">
        <v>550</v>
      </c>
      <c r="I1471" s="1" t="s">
        <v>494</v>
      </c>
      <c r="J1471" s="11">
        <v>45992</v>
      </c>
      <c r="K1471" t="s">
        <v>270</v>
      </c>
    </row>
    <row r="1472" spans="7:11" x14ac:dyDescent="0.3">
      <c r="G1472" t="s">
        <v>169</v>
      </c>
      <c r="H1472" s="1">
        <v>204.4</v>
      </c>
      <c r="I1472" s="1" t="s">
        <v>494</v>
      </c>
      <c r="J1472" s="11">
        <v>45993</v>
      </c>
      <c r="K1472" t="s">
        <v>96</v>
      </c>
    </row>
    <row r="1473" spans="7:11" x14ac:dyDescent="0.3">
      <c r="G1473" t="s">
        <v>446</v>
      </c>
      <c r="H1473" s="1">
        <v>765</v>
      </c>
      <c r="I1473" s="1" t="s">
        <v>494</v>
      </c>
      <c r="J1473" s="11">
        <v>45993</v>
      </c>
      <c r="K1473" t="s">
        <v>270</v>
      </c>
    </row>
    <row r="1474" spans="7:11" x14ac:dyDescent="0.3">
      <c r="G1474" t="s">
        <v>374</v>
      </c>
      <c r="H1474" s="1">
        <v>995</v>
      </c>
      <c r="I1474" s="1" t="s">
        <v>494</v>
      </c>
      <c r="J1474" s="11">
        <v>45993</v>
      </c>
      <c r="K1474" t="s">
        <v>270</v>
      </c>
    </row>
    <row r="1475" spans="7:11" x14ac:dyDescent="0.3">
      <c r="G1475" t="s">
        <v>501</v>
      </c>
      <c r="H1475" s="1">
        <v>30</v>
      </c>
      <c r="I1475" s="1" t="s">
        <v>494</v>
      </c>
      <c r="J1475" s="11">
        <v>45993</v>
      </c>
      <c r="K1475" t="s">
        <v>275</v>
      </c>
    </row>
    <row r="1476" spans="7:11" x14ac:dyDescent="0.3">
      <c r="G1476" t="s">
        <v>149</v>
      </c>
      <c r="H1476" s="1">
        <v>100</v>
      </c>
      <c r="I1476" s="1" t="s">
        <v>494</v>
      </c>
      <c r="J1476" s="11">
        <v>45993</v>
      </c>
      <c r="K1476" t="s">
        <v>210</v>
      </c>
    </row>
    <row r="1477" spans="7:11" x14ac:dyDescent="0.3">
      <c r="G1477" t="s">
        <v>476</v>
      </c>
      <c r="H1477" s="1">
        <v>780</v>
      </c>
      <c r="I1477" s="1" t="s">
        <v>494</v>
      </c>
      <c r="J1477" s="11">
        <v>45994</v>
      </c>
      <c r="K1477" t="s">
        <v>90</v>
      </c>
    </row>
    <row r="1478" spans="7:11" x14ac:dyDescent="0.3">
      <c r="G1478" t="s">
        <v>502</v>
      </c>
      <c r="H1478" s="1">
        <v>810</v>
      </c>
      <c r="I1478" s="1" t="s">
        <v>494</v>
      </c>
      <c r="J1478" s="11">
        <v>45994</v>
      </c>
      <c r="K1478" t="s">
        <v>90</v>
      </c>
    </row>
    <row r="1479" spans="7:11" x14ac:dyDescent="0.3">
      <c r="G1479" t="s">
        <v>503</v>
      </c>
      <c r="H1479" s="1">
        <v>13</v>
      </c>
      <c r="I1479" s="1" t="s">
        <v>494</v>
      </c>
      <c r="J1479" s="11">
        <v>45994</v>
      </c>
      <c r="K1479" t="s">
        <v>275</v>
      </c>
    </row>
    <row r="1480" spans="7:11" x14ac:dyDescent="0.3">
      <c r="G1480" t="s">
        <v>443</v>
      </c>
      <c r="H1480" s="1">
        <v>40</v>
      </c>
      <c r="I1480" s="1" t="s">
        <v>494</v>
      </c>
      <c r="J1480" s="11">
        <v>45994</v>
      </c>
      <c r="K1480" t="s">
        <v>95</v>
      </c>
    </row>
    <row r="1481" spans="7:11" x14ac:dyDescent="0.3">
      <c r="G1481" t="s">
        <v>169</v>
      </c>
      <c r="H1481" s="1">
        <v>1475</v>
      </c>
      <c r="I1481" s="1" t="s">
        <v>494</v>
      </c>
      <c r="J1481" s="11">
        <v>45994</v>
      </c>
      <c r="K1481" t="s">
        <v>96</v>
      </c>
    </row>
    <row r="1482" spans="7:11" x14ac:dyDescent="0.3">
      <c r="G1482" t="s">
        <v>169</v>
      </c>
      <c r="H1482" s="1">
        <v>430</v>
      </c>
      <c r="I1482" s="1" t="s">
        <v>494</v>
      </c>
      <c r="J1482" s="11">
        <v>45994</v>
      </c>
      <c r="K1482" t="s">
        <v>96</v>
      </c>
    </row>
    <row r="1483" spans="7:11" x14ac:dyDescent="0.3">
      <c r="G1483" t="s">
        <v>333</v>
      </c>
      <c r="H1483" s="1">
        <v>172</v>
      </c>
      <c r="I1483" s="1" t="s">
        <v>494</v>
      </c>
      <c r="J1483" s="11">
        <v>45994</v>
      </c>
      <c r="K1483" t="s">
        <v>466</v>
      </c>
    </row>
    <row r="1484" spans="7:11" x14ac:dyDescent="0.3">
      <c r="G1484" t="s">
        <v>130</v>
      </c>
      <c r="H1484" s="1">
        <v>4000</v>
      </c>
      <c r="I1484" s="1" t="s">
        <v>494</v>
      </c>
      <c r="J1484" s="11">
        <v>45994</v>
      </c>
      <c r="K1484" t="s">
        <v>466</v>
      </c>
    </row>
    <row r="1485" spans="7:11" x14ac:dyDescent="0.3">
      <c r="G1485" t="s">
        <v>384</v>
      </c>
      <c r="H1485" s="1">
        <v>348.5</v>
      </c>
      <c r="I1485" s="1" t="s">
        <v>494</v>
      </c>
      <c r="J1485" s="11">
        <v>45994</v>
      </c>
      <c r="K1485" t="s">
        <v>466</v>
      </c>
    </row>
    <row r="1486" spans="7:11" x14ac:dyDescent="0.3">
      <c r="G1486" t="s">
        <v>380</v>
      </c>
      <c r="H1486" s="1">
        <v>348.5</v>
      </c>
      <c r="I1486" s="1" t="s">
        <v>494</v>
      </c>
      <c r="J1486" s="11">
        <v>45994</v>
      </c>
      <c r="K1486" t="s">
        <v>466</v>
      </c>
    </row>
    <row r="1487" spans="7:11" x14ac:dyDescent="0.3">
      <c r="G1487" t="s">
        <v>381</v>
      </c>
      <c r="H1487" s="1">
        <v>348.5</v>
      </c>
      <c r="I1487" s="1" t="s">
        <v>494</v>
      </c>
      <c r="J1487" s="11">
        <v>45994</v>
      </c>
      <c r="K1487" t="s">
        <v>466</v>
      </c>
    </row>
    <row r="1488" spans="7:11" x14ac:dyDescent="0.3">
      <c r="G1488" t="s">
        <v>129</v>
      </c>
      <c r="H1488" s="1">
        <v>2000</v>
      </c>
      <c r="I1488" s="1" t="s">
        <v>494</v>
      </c>
      <c r="J1488" s="11">
        <v>45994</v>
      </c>
      <c r="K1488" t="s">
        <v>466</v>
      </c>
    </row>
    <row r="1489" spans="7:11" x14ac:dyDescent="0.3">
      <c r="G1489" t="s">
        <v>504</v>
      </c>
      <c r="H1489" s="1">
        <v>800</v>
      </c>
      <c r="I1489" s="1" t="s">
        <v>494</v>
      </c>
      <c r="J1489" s="11">
        <v>45994</v>
      </c>
      <c r="K1489" t="s">
        <v>466</v>
      </c>
    </row>
    <row r="1490" spans="7:11" x14ac:dyDescent="0.3">
      <c r="G1490" t="s">
        <v>357</v>
      </c>
      <c r="H1490" s="1">
        <v>340</v>
      </c>
      <c r="I1490" s="1" t="s">
        <v>494</v>
      </c>
      <c r="J1490" s="11">
        <v>45994</v>
      </c>
      <c r="K1490" t="s">
        <v>90</v>
      </c>
    </row>
    <row r="1491" spans="7:11" x14ac:dyDescent="0.3">
      <c r="G1491" t="s">
        <v>372</v>
      </c>
      <c r="H1491" s="1">
        <v>680</v>
      </c>
      <c r="I1491" s="1" t="s">
        <v>494</v>
      </c>
      <c r="J1491" s="11">
        <v>45994</v>
      </c>
      <c r="K1491" t="s">
        <v>90</v>
      </c>
    </row>
    <row r="1492" spans="7:11" x14ac:dyDescent="0.3">
      <c r="G1492" t="s">
        <v>243</v>
      </c>
      <c r="H1492" s="1">
        <v>865</v>
      </c>
      <c r="I1492" s="1" t="s">
        <v>494</v>
      </c>
      <c r="J1492" s="11">
        <v>45994</v>
      </c>
      <c r="K1492" t="s">
        <v>95</v>
      </c>
    </row>
    <row r="1493" spans="7:11" x14ac:dyDescent="0.3">
      <c r="G1493" t="s">
        <v>251</v>
      </c>
      <c r="H1493" s="1">
        <v>13</v>
      </c>
      <c r="I1493" s="1" t="s">
        <v>494</v>
      </c>
      <c r="J1493" s="11">
        <v>45995</v>
      </c>
      <c r="K1493" t="s">
        <v>275</v>
      </c>
    </row>
    <row r="1494" spans="7:11" x14ac:dyDescent="0.3">
      <c r="G1494" t="s">
        <v>337</v>
      </c>
      <c r="H1494" s="1">
        <v>85</v>
      </c>
      <c r="I1494" s="1" t="s">
        <v>494</v>
      </c>
      <c r="J1494" s="11">
        <v>45995</v>
      </c>
      <c r="K1494" t="s">
        <v>90</v>
      </c>
    </row>
    <row r="1495" spans="7:11" x14ac:dyDescent="0.3">
      <c r="G1495" t="s">
        <v>60</v>
      </c>
      <c r="H1495" s="1">
        <v>20</v>
      </c>
      <c r="I1495" s="1" t="s">
        <v>494</v>
      </c>
      <c r="J1495" s="11">
        <v>45995</v>
      </c>
      <c r="K1495" t="s">
        <v>96</v>
      </c>
    </row>
    <row r="1496" spans="7:11" x14ac:dyDescent="0.3">
      <c r="G1496" t="s">
        <v>505</v>
      </c>
      <c r="H1496" s="1">
        <v>30</v>
      </c>
      <c r="I1496" s="1" t="s">
        <v>494</v>
      </c>
      <c r="J1496" s="11">
        <v>45996</v>
      </c>
      <c r="K1496" t="s">
        <v>275</v>
      </c>
    </row>
    <row r="1497" spans="7:11" x14ac:dyDescent="0.3">
      <c r="G1497" t="s">
        <v>232</v>
      </c>
      <c r="H1497" s="1">
        <v>55</v>
      </c>
      <c r="I1497" s="1" t="s">
        <v>494</v>
      </c>
      <c r="J1497" s="11">
        <v>45996</v>
      </c>
      <c r="K1497" t="s">
        <v>466</v>
      </c>
    </row>
    <row r="1498" spans="7:11" x14ac:dyDescent="0.3">
      <c r="G1498" t="s">
        <v>244</v>
      </c>
      <c r="H1498" s="1">
        <v>7520</v>
      </c>
      <c r="I1498" s="1" t="s">
        <v>494</v>
      </c>
      <c r="J1498" s="11">
        <v>45999</v>
      </c>
      <c r="K1498" t="s">
        <v>95</v>
      </c>
    </row>
    <row r="1499" spans="7:11" x14ac:dyDescent="0.3">
      <c r="G1499" t="s">
        <v>506</v>
      </c>
      <c r="H1499" s="1">
        <v>90</v>
      </c>
      <c r="I1499" s="1" t="s">
        <v>494</v>
      </c>
      <c r="J1499" s="11">
        <v>45999</v>
      </c>
      <c r="K1499" t="s">
        <v>97</v>
      </c>
    </row>
    <row r="1500" spans="7:11" x14ac:dyDescent="0.3">
      <c r="G1500" t="s">
        <v>420</v>
      </c>
      <c r="H1500" s="1">
        <v>720</v>
      </c>
      <c r="I1500" s="1" t="s">
        <v>494</v>
      </c>
      <c r="J1500" s="11">
        <v>45999</v>
      </c>
      <c r="K1500" t="s">
        <v>90</v>
      </c>
    </row>
    <row r="1501" spans="7:11" x14ac:dyDescent="0.3">
      <c r="G1501" t="s">
        <v>507</v>
      </c>
      <c r="H1501" s="1">
        <v>735</v>
      </c>
      <c r="I1501" s="1" t="s">
        <v>494</v>
      </c>
      <c r="J1501" s="11">
        <v>45999</v>
      </c>
      <c r="K1501" t="s">
        <v>90</v>
      </c>
    </row>
    <row r="1502" spans="7:11" x14ac:dyDescent="0.3">
      <c r="G1502" t="s">
        <v>352</v>
      </c>
      <c r="H1502" s="1">
        <v>190</v>
      </c>
      <c r="I1502" s="1" t="s">
        <v>494</v>
      </c>
      <c r="J1502" s="11">
        <v>45999</v>
      </c>
      <c r="K1502" t="s">
        <v>97</v>
      </c>
    </row>
    <row r="1503" spans="7:11" x14ac:dyDescent="0.3">
      <c r="G1503" t="s">
        <v>322</v>
      </c>
      <c r="H1503" s="1">
        <v>175</v>
      </c>
      <c r="I1503" s="1" t="s">
        <v>494</v>
      </c>
      <c r="J1503" s="11">
        <v>45999</v>
      </c>
      <c r="K1503" t="s">
        <v>205</v>
      </c>
    </row>
    <row r="1504" spans="7:11" x14ac:dyDescent="0.3">
      <c r="G1504" t="s">
        <v>420</v>
      </c>
      <c r="H1504" s="1">
        <v>730</v>
      </c>
      <c r="I1504" s="1" t="s">
        <v>494</v>
      </c>
      <c r="J1504" s="11">
        <v>45999</v>
      </c>
      <c r="K1504" t="s">
        <v>90</v>
      </c>
    </row>
    <row r="1505" spans="7:11" x14ac:dyDescent="0.3">
      <c r="G1505" t="s">
        <v>420</v>
      </c>
      <c r="H1505" s="1">
        <v>110</v>
      </c>
      <c r="I1505" s="1" t="s">
        <v>494</v>
      </c>
      <c r="J1505" s="11">
        <v>45999</v>
      </c>
      <c r="K1505" t="s">
        <v>90</v>
      </c>
    </row>
    <row r="1506" spans="7:11" x14ac:dyDescent="0.3">
      <c r="G1506" t="s">
        <v>446</v>
      </c>
      <c r="H1506" s="1">
        <v>1425</v>
      </c>
      <c r="I1506" s="1" t="s">
        <v>494</v>
      </c>
      <c r="J1506" s="11">
        <v>45999</v>
      </c>
      <c r="K1506" t="s">
        <v>90</v>
      </c>
    </row>
    <row r="1507" spans="7:11" x14ac:dyDescent="0.3">
      <c r="G1507" t="s">
        <v>362</v>
      </c>
      <c r="H1507" s="1">
        <v>515</v>
      </c>
      <c r="I1507" s="1" t="s">
        <v>494</v>
      </c>
      <c r="J1507" s="11">
        <v>45999</v>
      </c>
      <c r="K1507" t="s">
        <v>90</v>
      </c>
    </row>
    <row r="1508" spans="7:11" x14ac:dyDescent="0.3">
      <c r="G1508" t="s">
        <v>152</v>
      </c>
      <c r="H1508" s="1">
        <v>5000</v>
      </c>
      <c r="I1508" s="1" t="s">
        <v>494</v>
      </c>
      <c r="J1508" s="11">
        <v>45999</v>
      </c>
      <c r="K1508" t="s">
        <v>152</v>
      </c>
    </row>
    <row r="1509" spans="7:11" x14ac:dyDescent="0.3">
      <c r="G1509" t="s">
        <v>298</v>
      </c>
      <c r="H1509" s="1">
        <v>100</v>
      </c>
      <c r="I1509" s="1" t="s">
        <v>494</v>
      </c>
      <c r="J1509" s="11">
        <v>45999</v>
      </c>
      <c r="K1509" t="s">
        <v>466</v>
      </c>
    </row>
    <row r="1510" spans="7:11" x14ac:dyDescent="0.3">
      <c r="G1510" t="s">
        <v>229</v>
      </c>
      <c r="H1510" s="1">
        <v>460</v>
      </c>
      <c r="I1510" s="1" t="s">
        <v>494</v>
      </c>
      <c r="J1510" s="11">
        <v>45999</v>
      </c>
      <c r="K1510" t="s">
        <v>95</v>
      </c>
    </row>
    <row r="1511" spans="7:11" x14ac:dyDescent="0.3">
      <c r="G1511" t="s">
        <v>362</v>
      </c>
      <c r="H1511" s="1">
        <v>120</v>
      </c>
      <c r="I1511" s="1" t="s">
        <v>494</v>
      </c>
      <c r="J1511" s="11">
        <v>45999</v>
      </c>
      <c r="K1511" t="s">
        <v>90</v>
      </c>
    </row>
    <row r="1512" spans="7:11" x14ac:dyDescent="0.3">
      <c r="G1512" t="s">
        <v>243</v>
      </c>
      <c r="H1512" s="1">
        <v>430</v>
      </c>
      <c r="I1512" s="1" t="s">
        <v>494</v>
      </c>
      <c r="J1512" s="11">
        <v>45999</v>
      </c>
      <c r="K1512" t="s">
        <v>95</v>
      </c>
    </row>
    <row r="1513" spans="7:11" x14ac:dyDescent="0.3">
      <c r="G1513" t="s">
        <v>372</v>
      </c>
      <c r="H1513" s="1">
        <v>750</v>
      </c>
      <c r="I1513" s="1" t="s">
        <v>494</v>
      </c>
      <c r="J1513" s="11">
        <v>46000</v>
      </c>
      <c r="K1513" t="s">
        <v>90</v>
      </c>
    </row>
    <row r="1514" spans="7:11" x14ac:dyDescent="0.3">
      <c r="G1514" t="s">
        <v>386</v>
      </c>
      <c r="H1514" s="1">
        <v>900</v>
      </c>
      <c r="I1514" s="1" t="s">
        <v>494</v>
      </c>
      <c r="J1514" s="11">
        <v>46000</v>
      </c>
      <c r="K1514" t="s">
        <v>90</v>
      </c>
    </row>
    <row r="1515" spans="7:11" x14ac:dyDescent="0.3">
      <c r="G1515" t="s">
        <v>446</v>
      </c>
      <c r="H1515" s="1">
        <v>740</v>
      </c>
      <c r="I1515" s="1" t="s">
        <v>494</v>
      </c>
      <c r="J1515" s="11">
        <v>46000</v>
      </c>
      <c r="K1515" t="s">
        <v>90</v>
      </c>
    </row>
    <row r="1516" spans="7:11" x14ac:dyDescent="0.3">
      <c r="G1516" t="s">
        <v>420</v>
      </c>
      <c r="H1516" s="1">
        <v>1905</v>
      </c>
      <c r="I1516" s="1" t="s">
        <v>494</v>
      </c>
      <c r="J1516" s="11">
        <v>46000</v>
      </c>
      <c r="K1516" t="s">
        <v>90</v>
      </c>
    </row>
    <row r="1517" spans="7:11" x14ac:dyDescent="0.3">
      <c r="G1517" t="s">
        <v>507</v>
      </c>
      <c r="H1517" s="1">
        <v>140</v>
      </c>
      <c r="I1517" s="1" t="s">
        <v>494</v>
      </c>
      <c r="J1517" s="11">
        <v>46000</v>
      </c>
      <c r="K1517" t="s">
        <v>90</v>
      </c>
    </row>
    <row r="1518" spans="7:11" x14ac:dyDescent="0.3">
      <c r="G1518" t="s">
        <v>479</v>
      </c>
      <c r="H1518" s="1">
        <v>750</v>
      </c>
      <c r="I1518" s="1" t="s">
        <v>494</v>
      </c>
      <c r="J1518" s="11">
        <v>46000</v>
      </c>
      <c r="K1518" t="s">
        <v>219</v>
      </c>
    </row>
    <row r="1519" spans="7:11" x14ac:dyDescent="0.3">
      <c r="G1519" t="s">
        <v>389</v>
      </c>
      <c r="H1519" s="1">
        <v>780</v>
      </c>
      <c r="I1519" s="1" t="s">
        <v>494</v>
      </c>
      <c r="J1519" s="11">
        <v>46000</v>
      </c>
      <c r="K1519" t="s">
        <v>90</v>
      </c>
    </row>
    <row r="1520" spans="7:11" x14ac:dyDescent="0.3">
      <c r="G1520" t="s">
        <v>353</v>
      </c>
      <c r="H1520" s="1">
        <v>1235</v>
      </c>
      <c r="I1520" s="1" t="s">
        <v>494</v>
      </c>
      <c r="J1520" s="11">
        <v>46000</v>
      </c>
      <c r="K1520" t="s">
        <v>90</v>
      </c>
    </row>
    <row r="1521" spans="7:11" x14ac:dyDescent="0.3">
      <c r="G1521" t="s">
        <v>402</v>
      </c>
      <c r="H1521" s="1">
        <v>190</v>
      </c>
      <c r="I1521" s="1" t="s">
        <v>494</v>
      </c>
      <c r="J1521" s="11">
        <v>46000</v>
      </c>
      <c r="K1521" t="s">
        <v>96</v>
      </c>
    </row>
    <row r="1522" spans="7:11" x14ac:dyDescent="0.3">
      <c r="G1522" t="s">
        <v>508</v>
      </c>
      <c r="H1522" s="1">
        <v>620</v>
      </c>
      <c r="I1522" s="1" t="s">
        <v>494</v>
      </c>
      <c r="J1522" s="11">
        <v>46000</v>
      </c>
      <c r="K1522" t="s">
        <v>95</v>
      </c>
    </row>
    <row r="1523" spans="7:11" x14ac:dyDescent="0.3">
      <c r="G1523" t="s">
        <v>420</v>
      </c>
      <c r="H1523" s="1">
        <v>1899</v>
      </c>
      <c r="I1523" s="1" t="s">
        <v>494</v>
      </c>
      <c r="J1523" s="11">
        <v>46000</v>
      </c>
      <c r="K1523" t="s">
        <v>90</v>
      </c>
    </row>
    <row r="1524" spans="7:11" x14ac:dyDescent="0.3">
      <c r="G1524" t="s">
        <v>336</v>
      </c>
      <c r="H1524" s="1">
        <v>120</v>
      </c>
      <c r="I1524" s="1" t="s">
        <v>494</v>
      </c>
      <c r="J1524" s="11">
        <v>46000</v>
      </c>
      <c r="K1524" t="s">
        <v>90</v>
      </c>
    </row>
    <row r="1525" spans="7:11" x14ac:dyDescent="0.3">
      <c r="G1525" t="s">
        <v>60</v>
      </c>
      <c r="H1525" s="1">
        <v>20</v>
      </c>
      <c r="I1525" s="1" t="s">
        <v>494</v>
      </c>
      <c r="J1525" s="11">
        <v>46000</v>
      </c>
      <c r="K1525" t="s">
        <v>96</v>
      </c>
    </row>
    <row r="1526" spans="7:11" x14ac:dyDescent="0.3">
      <c r="G1526" t="s">
        <v>184</v>
      </c>
      <c r="H1526" s="1">
        <v>190</v>
      </c>
      <c r="I1526" s="1" t="s">
        <v>494</v>
      </c>
      <c r="J1526" s="11">
        <v>46000</v>
      </c>
      <c r="K1526" t="s">
        <v>96</v>
      </c>
    </row>
    <row r="1527" spans="7:11" x14ac:dyDescent="0.3">
      <c r="G1527" t="s">
        <v>169</v>
      </c>
      <c r="H1527" s="1">
        <v>80</v>
      </c>
      <c r="I1527" s="1" t="s">
        <v>494</v>
      </c>
      <c r="J1527" s="11">
        <v>46002</v>
      </c>
      <c r="K1527" t="s">
        <v>96</v>
      </c>
    </row>
    <row r="1528" spans="7:11" x14ac:dyDescent="0.3">
      <c r="G1528" t="s">
        <v>149</v>
      </c>
      <c r="H1528" s="1">
        <v>105</v>
      </c>
      <c r="I1528" s="1" t="s">
        <v>494</v>
      </c>
      <c r="J1528" s="11">
        <v>46002</v>
      </c>
      <c r="K1528" t="s">
        <v>210</v>
      </c>
    </row>
    <row r="1529" spans="7:11" x14ac:dyDescent="0.3">
      <c r="G1529" t="s">
        <v>337</v>
      </c>
      <c r="H1529" s="1">
        <v>270</v>
      </c>
      <c r="I1529" s="1" t="s">
        <v>494</v>
      </c>
      <c r="J1529" s="11">
        <v>46002</v>
      </c>
      <c r="K1529" t="s">
        <v>90</v>
      </c>
    </row>
    <row r="1530" spans="7:11" x14ac:dyDescent="0.3">
      <c r="G1530" t="s">
        <v>509</v>
      </c>
      <c r="H1530" s="1">
        <v>1050</v>
      </c>
      <c r="I1530" s="1" t="s">
        <v>494</v>
      </c>
      <c r="J1530" s="11">
        <v>46002</v>
      </c>
      <c r="K1530" t="s">
        <v>90</v>
      </c>
    </row>
    <row r="1531" spans="7:11" x14ac:dyDescent="0.3">
      <c r="G1531" t="s">
        <v>229</v>
      </c>
      <c r="H1531" s="1">
        <v>280</v>
      </c>
      <c r="I1531" s="1" t="s">
        <v>494</v>
      </c>
      <c r="J1531" s="11">
        <v>46003</v>
      </c>
      <c r="K1531" t="s">
        <v>95</v>
      </c>
    </row>
    <row r="1532" spans="7:11" x14ac:dyDescent="0.3">
      <c r="G1532" t="s">
        <v>161</v>
      </c>
      <c r="H1532" s="1">
        <v>600</v>
      </c>
      <c r="I1532" s="1" t="s">
        <v>494</v>
      </c>
      <c r="J1532" s="11">
        <v>46003</v>
      </c>
      <c r="K1532" t="s">
        <v>161</v>
      </c>
    </row>
    <row r="1533" spans="7:11" x14ac:dyDescent="0.3">
      <c r="G1533" t="s">
        <v>491</v>
      </c>
      <c r="H1533" s="1">
        <v>27</v>
      </c>
      <c r="I1533" s="1" t="s">
        <v>494</v>
      </c>
      <c r="J1533" s="11">
        <v>46003</v>
      </c>
      <c r="K1533" t="s">
        <v>96</v>
      </c>
    </row>
    <row r="1534" spans="7:11" x14ac:dyDescent="0.3">
      <c r="G1534" t="s">
        <v>507</v>
      </c>
      <c r="H1534" s="1">
        <v>35</v>
      </c>
      <c r="I1534" s="1" t="s">
        <v>494</v>
      </c>
      <c r="J1534" s="11">
        <v>46003</v>
      </c>
      <c r="K1534" t="s">
        <v>270</v>
      </c>
    </row>
    <row r="1535" spans="7:11" x14ac:dyDescent="0.3">
      <c r="G1535" t="s">
        <v>508</v>
      </c>
      <c r="H1535" s="1">
        <v>1755.95</v>
      </c>
      <c r="I1535" s="1" t="s">
        <v>494</v>
      </c>
      <c r="J1535" s="11">
        <v>46003</v>
      </c>
      <c r="K1535" t="s">
        <v>95</v>
      </c>
    </row>
    <row r="1536" spans="7:11" x14ac:dyDescent="0.3">
      <c r="G1536" t="s">
        <v>243</v>
      </c>
      <c r="H1536" s="1">
        <v>80</v>
      </c>
      <c r="I1536" s="1" t="s">
        <v>494</v>
      </c>
      <c r="J1536" s="11">
        <v>46003</v>
      </c>
      <c r="K1536" t="s">
        <v>95</v>
      </c>
    </row>
    <row r="1537" spans="7:11" x14ac:dyDescent="0.3">
      <c r="G1537" t="s">
        <v>298</v>
      </c>
      <c r="H1537" s="1">
        <v>300</v>
      </c>
      <c r="I1537" s="1" t="s">
        <v>494</v>
      </c>
      <c r="J1537" s="11">
        <v>46004</v>
      </c>
      <c r="K1537" t="s">
        <v>466</v>
      </c>
    </row>
    <row r="1538" spans="7:11" x14ac:dyDescent="0.3">
      <c r="G1538" t="s">
        <v>322</v>
      </c>
      <c r="H1538" s="1">
        <v>170</v>
      </c>
      <c r="I1538" s="1" t="s">
        <v>494</v>
      </c>
      <c r="J1538" s="11">
        <v>46004</v>
      </c>
      <c r="K1538" t="s">
        <v>205</v>
      </c>
    </row>
    <row r="1539" spans="7:11" x14ac:dyDescent="0.3">
      <c r="G1539" t="s">
        <v>420</v>
      </c>
      <c r="H1539" s="1">
        <v>3111</v>
      </c>
      <c r="I1539" s="1" t="s">
        <v>494</v>
      </c>
      <c r="J1539" s="11">
        <v>46006</v>
      </c>
      <c r="K1539" t="s">
        <v>270</v>
      </c>
    </row>
    <row r="1540" spans="7:11" x14ac:dyDescent="0.3">
      <c r="G1540" t="s">
        <v>420</v>
      </c>
      <c r="H1540" s="1">
        <v>170</v>
      </c>
      <c r="I1540" s="1" t="s">
        <v>494</v>
      </c>
      <c r="J1540" s="11">
        <v>46006</v>
      </c>
      <c r="K1540" t="s">
        <v>270</v>
      </c>
    </row>
    <row r="1541" spans="7:11" x14ac:dyDescent="0.3">
      <c r="G1541" t="s">
        <v>349</v>
      </c>
      <c r="H1541" s="1">
        <v>965</v>
      </c>
      <c r="I1541" s="1" t="s">
        <v>494</v>
      </c>
      <c r="J1541" s="11">
        <v>46006</v>
      </c>
      <c r="K1541" t="s">
        <v>270</v>
      </c>
    </row>
    <row r="1542" spans="7:11" x14ac:dyDescent="0.3">
      <c r="G1542" t="s">
        <v>456</v>
      </c>
      <c r="H1542" s="1">
        <v>360</v>
      </c>
      <c r="I1542" s="1" t="s">
        <v>494</v>
      </c>
      <c r="J1542" s="11">
        <v>46006</v>
      </c>
      <c r="K1542" t="s">
        <v>270</v>
      </c>
    </row>
    <row r="1543" spans="7:11" x14ac:dyDescent="0.3">
      <c r="G1543" t="s">
        <v>362</v>
      </c>
      <c r="H1543" s="1">
        <v>120</v>
      </c>
      <c r="I1543" s="1" t="s">
        <v>494</v>
      </c>
      <c r="J1543" s="11">
        <v>46006</v>
      </c>
      <c r="K1543" t="s">
        <v>270</v>
      </c>
    </row>
    <row r="1544" spans="7:11" x14ac:dyDescent="0.3">
      <c r="G1544" t="s">
        <v>361</v>
      </c>
      <c r="H1544" s="1">
        <v>600</v>
      </c>
      <c r="I1544" s="1" t="s">
        <v>494</v>
      </c>
      <c r="J1544" s="11">
        <v>46007</v>
      </c>
      <c r="K1544" t="s">
        <v>270</v>
      </c>
    </row>
    <row r="1545" spans="7:11" x14ac:dyDescent="0.3">
      <c r="G1545" t="s">
        <v>510</v>
      </c>
      <c r="H1545" s="1">
        <v>1040</v>
      </c>
      <c r="I1545" s="1" t="s">
        <v>494</v>
      </c>
      <c r="J1545" s="11">
        <v>46007</v>
      </c>
      <c r="K1545" t="s">
        <v>95</v>
      </c>
    </row>
    <row r="1546" spans="7:11" x14ac:dyDescent="0.3">
      <c r="G1546" t="s">
        <v>26</v>
      </c>
      <c r="H1546" s="1">
        <v>200</v>
      </c>
      <c r="I1546" s="1" t="s">
        <v>494</v>
      </c>
      <c r="J1546" s="11">
        <v>46007</v>
      </c>
      <c r="K1546" t="s">
        <v>26</v>
      </c>
    </row>
    <row r="1547" spans="7:11" x14ac:dyDescent="0.3">
      <c r="G1547" t="s">
        <v>446</v>
      </c>
      <c r="H1547" s="1">
        <v>885</v>
      </c>
      <c r="I1547" s="1" t="s">
        <v>494</v>
      </c>
      <c r="J1547" s="11">
        <v>46007</v>
      </c>
      <c r="K1547" t="s">
        <v>270</v>
      </c>
    </row>
    <row r="1548" spans="7:11" x14ac:dyDescent="0.3">
      <c r="G1548" t="s">
        <v>149</v>
      </c>
      <c r="H1548" s="1">
        <v>140</v>
      </c>
      <c r="I1548" s="1" t="s">
        <v>494</v>
      </c>
      <c r="J1548" s="11">
        <v>46007</v>
      </c>
      <c r="K1548" t="s">
        <v>210</v>
      </c>
    </row>
    <row r="1549" spans="7:11" x14ac:dyDescent="0.3">
      <c r="G1549" t="s">
        <v>372</v>
      </c>
      <c r="H1549" s="1">
        <v>1000</v>
      </c>
      <c r="I1549" s="1" t="s">
        <v>494</v>
      </c>
      <c r="J1549" s="11">
        <v>46007</v>
      </c>
      <c r="K1549" t="s">
        <v>270</v>
      </c>
    </row>
    <row r="1550" spans="7:11" x14ac:dyDescent="0.3">
      <c r="G1550" t="s">
        <v>448</v>
      </c>
      <c r="H1550" s="1">
        <v>580</v>
      </c>
      <c r="I1550" s="1" t="s">
        <v>494</v>
      </c>
      <c r="J1550" s="11">
        <v>46007</v>
      </c>
      <c r="K1550" t="s">
        <v>511</v>
      </c>
    </row>
    <row r="1551" spans="7:11" x14ac:dyDescent="0.3">
      <c r="G1551" t="s">
        <v>31</v>
      </c>
      <c r="H1551" s="1">
        <v>240</v>
      </c>
      <c r="I1551" s="1" t="s">
        <v>494</v>
      </c>
      <c r="J1551" s="11">
        <v>46008</v>
      </c>
      <c r="K1551" t="s">
        <v>96</v>
      </c>
    </row>
    <row r="1552" spans="7:11" x14ac:dyDescent="0.3">
      <c r="G1552" t="s">
        <v>229</v>
      </c>
      <c r="H1552" s="1">
        <v>280</v>
      </c>
      <c r="I1552" s="1" t="s">
        <v>494</v>
      </c>
      <c r="J1552" s="11">
        <v>46008</v>
      </c>
      <c r="K1552" t="s">
        <v>95</v>
      </c>
    </row>
    <row r="1553" spans="7:11" x14ac:dyDescent="0.3">
      <c r="G1553" t="s">
        <v>243</v>
      </c>
      <c r="H1553" s="1">
        <v>80</v>
      </c>
      <c r="I1553" s="1" t="s">
        <v>494</v>
      </c>
      <c r="J1553" s="11">
        <v>46008</v>
      </c>
      <c r="K1553" t="s">
        <v>95</v>
      </c>
    </row>
    <row r="1554" spans="7:11" x14ac:dyDescent="0.3">
      <c r="G1554" t="s">
        <v>374</v>
      </c>
      <c r="H1554" s="1">
        <v>940</v>
      </c>
      <c r="I1554" s="1" t="s">
        <v>494</v>
      </c>
      <c r="J1554" s="11">
        <v>46008</v>
      </c>
      <c r="K1554" t="s">
        <v>270</v>
      </c>
    </row>
    <row r="1555" spans="7:11" x14ac:dyDescent="0.3">
      <c r="G1555" t="s">
        <v>357</v>
      </c>
      <c r="H1555" s="1">
        <v>980</v>
      </c>
      <c r="I1555" s="1" t="s">
        <v>494</v>
      </c>
      <c r="J1555" s="11">
        <v>46008</v>
      </c>
      <c r="K1555" t="s">
        <v>270</v>
      </c>
    </row>
    <row r="1556" spans="7:11" x14ac:dyDescent="0.3">
      <c r="G1556" t="s">
        <v>33</v>
      </c>
      <c r="H1556" s="1">
        <v>480</v>
      </c>
      <c r="I1556" s="1" t="s">
        <v>494</v>
      </c>
      <c r="J1556" s="11">
        <v>46008</v>
      </c>
      <c r="K1556" t="s">
        <v>97</v>
      </c>
    </row>
    <row r="1557" spans="7:11" x14ac:dyDescent="0.3">
      <c r="G1557" t="s">
        <v>353</v>
      </c>
      <c r="H1557" s="1">
        <v>1040</v>
      </c>
      <c r="I1557" s="1" t="s">
        <v>494</v>
      </c>
      <c r="J1557" s="11">
        <v>46008</v>
      </c>
      <c r="K1557" t="s">
        <v>270</v>
      </c>
    </row>
    <row r="1558" spans="7:11" x14ac:dyDescent="0.3">
      <c r="G1558" t="s">
        <v>512</v>
      </c>
      <c r="H1558" s="1">
        <v>70</v>
      </c>
      <c r="I1558" s="1" t="s">
        <v>494</v>
      </c>
      <c r="J1558" s="11">
        <v>46009</v>
      </c>
      <c r="K1558" t="s">
        <v>95</v>
      </c>
    </row>
    <row r="1559" spans="7:11" x14ac:dyDescent="0.3">
      <c r="G1559" t="s">
        <v>414</v>
      </c>
      <c r="H1559" s="1">
        <v>1000</v>
      </c>
      <c r="I1559" s="1" t="s">
        <v>494</v>
      </c>
      <c r="J1559" s="11">
        <v>46009</v>
      </c>
      <c r="K1559" t="s">
        <v>270</v>
      </c>
    </row>
    <row r="1560" spans="7:11" x14ac:dyDescent="0.3">
      <c r="G1560" t="s">
        <v>362</v>
      </c>
      <c r="H1560" s="1">
        <v>245</v>
      </c>
      <c r="I1560" s="1" t="s">
        <v>494</v>
      </c>
      <c r="J1560" s="11">
        <v>46009</v>
      </c>
      <c r="K1560" t="s">
        <v>270</v>
      </c>
    </row>
    <row r="1561" spans="7:11" x14ac:dyDescent="0.3">
      <c r="G1561" t="s">
        <v>454</v>
      </c>
      <c r="H1561" s="1">
        <v>630</v>
      </c>
      <c r="I1561" s="1" t="s">
        <v>494</v>
      </c>
      <c r="J1561" s="11">
        <v>46009</v>
      </c>
      <c r="K1561" t="s">
        <v>270</v>
      </c>
    </row>
    <row r="1562" spans="7:11" x14ac:dyDescent="0.3">
      <c r="G1562" t="s">
        <v>219</v>
      </c>
      <c r="H1562" s="1">
        <v>650</v>
      </c>
      <c r="I1562" s="1" t="s">
        <v>494</v>
      </c>
      <c r="J1562" s="11">
        <v>46010</v>
      </c>
      <c r="K1562" t="s">
        <v>219</v>
      </c>
    </row>
    <row r="1563" spans="7:11" x14ac:dyDescent="0.3">
      <c r="G1563" t="s">
        <v>513</v>
      </c>
      <c r="H1563" s="1">
        <v>100</v>
      </c>
      <c r="I1563" s="1" t="s">
        <v>494</v>
      </c>
      <c r="J1563" s="11">
        <v>46010</v>
      </c>
      <c r="K1563" t="s">
        <v>97</v>
      </c>
    </row>
    <row r="1564" spans="7:11" x14ac:dyDescent="0.3">
      <c r="G1564" t="s">
        <v>149</v>
      </c>
      <c r="H1564" s="1">
        <v>65</v>
      </c>
      <c r="I1564" s="1" t="s">
        <v>494</v>
      </c>
      <c r="J1564" s="11">
        <v>46010</v>
      </c>
      <c r="K1564" t="s">
        <v>210</v>
      </c>
    </row>
    <row r="1565" spans="7:11" x14ac:dyDescent="0.3">
      <c r="G1565" t="s">
        <v>420</v>
      </c>
      <c r="H1565" s="1">
        <v>2622</v>
      </c>
      <c r="I1565" s="1" t="s">
        <v>494</v>
      </c>
      <c r="J1565" s="11">
        <v>46010</v>
      </c>
      <c r="K1565" t="s">
        <v>270</v>
      </c>
    </row>
    <row r="1566" spans="7:11" x14ac:dyDescent="0.3">
      <c r="G1566" t="s">
        <v>514</v>
      </c>
      <c r="H1566" s="1">
        <v>3110</v>
      </c>
      <c r="I1566" s="1" t="s">
        <v>494</v>
      </c>
      <c r="J1566" s="11">
        <v>46010</v>
      </c>
      <c r="K1566" t="s">
        <v>95</v>
      </c>
    </row>
    <row r="1567" spans="7:11" x14ac:dyDescent="0.3">
      <c r="G1567" t="s">
        <v>149</v>
      </c>
      <c r="H1567" s="1">
        <v>350</v>
      </c>
      <c r="I1567" s="1" t="s">
        <v>494</v>
      </c>
      <c r="J1567" s="11">
        <v>46010</v>
      </c>
      <c r="K1567" t="s">
        <v>210</v>
      </c>
    </row>
    <row r="1568" spans="7:11" x14ac:dyDescent="0.3">
      <c r="G1568" t="s">
        <v>507</v>
      </c>
      <c r="H1568" s="1">
        <v>150</v>
      </c>
      <c r="I1568" s="1" t="s">
        <v>494</v>
      </c>
      <c r="J1568" s="11">
        <v>46010</v>
      </c>
      <c r="K1568" t="s">
        <v>270</v>
      </c>
    </row>
    <row r="1569" spans="7:11" x14ac:dyDescent="0.3">
      <c r="G1569" t="s">
        <v>243</v>
      </c>
      <c r="H1569" s="1">
        <v>40</v>
      </c>
      <c r="I1569" s="1" t="s">
        <v>494</v>
      </c>
      <c r="J1569" s="11">
        <v>46010</v>
      </c>
      <c r="K1569" t="s">
        <v>95</v>
      </c>
    </row>
    <row r="1570" spans="7:11" x14ac:dyDescent="0.3">
      <c r="G1570" t="s">
        <v>322</v>
      </c>
      <c r="H1570" s="1">
        <v>170</v>
      </c>
      <c r="I1570" s="1" t="s">
        <v>494</v>
      </c>
      <c r="J1570" s="11">
        <v>46012</v>
      </c>
      <c r="K1570" t="s">
        <v>205</v>
      </c>
    </row>
    <row r="1571" spans="7:11" x14ac:dyDescent="0.3">
      <c r="G1571" t="s">
        <v>434</v>
      </c>
      <c r="H1571" s="1">
        <v>515</v>
      </c>
      <c r="I1571" s="1" t="s">
        <v>494</v>
      </c>
      <c r="J1571" s="11">
        <v>46012</v>
      </c>
      <c r="K1571" t="s">
        <v>270</v>
      </c>
    </row>
    <row r="1572" spans="7:11" x14ac:dyDescent="0.3">
      <c r="G1572" t="s">
        <v>386</v>
      </c>
      <c r="H1572" s="1">
        <v>450</v>
      </c>
      <c r="I1572" s="1" t="s">
        <v>494</v>
      </c>
      <c r="J1572" s="11">
        <v>46012</v>
      </c>
      <c r="K1572" t="s">
        <v>270</v>
      </c>
    </row>
    <row r="1573" spans="7:11" x14ac:dyDescent="0.3">
      <c r="G1573" t="s">
        <v>420</v>
      </c>
      <c r="H1573" s="1">
        <v>190</v>
      </c>
      <c r="I1573" s="1" t="s">
        <v>494</v>
      </c>
      <c r="J1573" s="11">
        <v>46013</v>
      </c>
      <c r="K1573" t="s">
        <v>270</v>
      </c>
    </row>
    <row r="1574" spans="7:11" x14ac:dyDescent="0.3">
      <c r="G1574" t="s">
        <v>349</v>
      </c>
      <c r="H1574" s="1">
        <v>1075</v>
      </c>
      <c r="I1574" s="1" t="s">
        <v>494</v>
      </c>
      <c r="J1574" s="11">
        <v>46013</v>
      </c>
      <c r="K1574" t="s">
        <v>270</v>
      </c>
    </row>
    <row r="1575" spans="7:11" x14ac:dyDescent="0.3">
      <c r="G1575" t="s">
        <v>430</v>
      </c>
      <c r="H1575" s="1">
        <v>362</v>
      </c>
      <c r="I1575" s="1" t="s">
        <v>494</v>
      </c>
      <c r="J1575" s="11">
        <v>46013</v>
      </c>
      <c r="K1575" t="s">
        <v>466</v>
      </c>
    </row>
    <row r="1576" spans="7:11" x14ac:dyDescent="0.3">
      <c r="G1576" t="s">
        <v>376</v>
      </c>
      <c r="H1576" s="1">
        <v>406</v>
      </c>
      <c r="I1576" s="1" t="s">
        <v>494</v>
      </c>
      <c r="J1576" s="11">
        <v>46013</v>
      </c>
      <c r="K1576" t="s">
        <v>466</v>
      </c>
    </row>
    <row r="1577" spans="7:11" x14ac:dyDescent="0.3">
      <c r="G1577" t="s">
        <v>362</v>
      </c>
      <c r="H1577" s="1">
        <v>230</v>
      </c>
      <c r="I1577" s="1" t="s">
        <v>494</v>
      </c>
      <c r="J1577" s="11">
        <v>46013</v>
      </c>
      <c r="K1577" t="s">
        <v>270</v>
      </c>
    </row>
    <row r="1578" spans="7:11" x14ac:dyDescent="0.3">
      <c r="G1578" t="s">
        <v>219</v>
      </c>
      <c r="H1578" s="1">
        <v>181</v>
      </c>
      <c r="I1578" s="1" t="s">
        <v>494</v>
      </c>
      <c r="J1578" s="11">
        <v>46013</v>
      </c>
      <c r="K1578" t="s">
        <v>219</v>
      </c>
    </row>
    <row r="1579" spans="7:11" x14ac:dyDescent="0.3">
      <c r="G1579" t="s">
        <v>493</v>
      </c>
      <c r="H1579" s="1">
        <v>100</v>
      </c>
      <c r="I1579" s="1" t="s">
        <v>494</v>
      </c>
      <c r="J1579" s="11">
        <v>46014</v>
      </c>
      <c r="K1579" t="s">
        <v>95</v>
      </c>
    </row>
    <row r="1580" spans="7:11" x14ac:dyDescent="0.3">
      <c r="G1580" t="s">
        <v>416</v>
      </c>
      <c r="H1580" s="1">
        <v>395</v>
      </c>
      <c r="I1580" s="1" t="s">
        <v>494</v>
      </c>
      <c r="J1580" s="11">
        <v>46014</v>
      </c>
      <c r="K1580" t="s">
        <v>95</v>
      </c>
    </row>
    <row r="1581" spans="7:11" x14ac:dyDescent="0.3">
      <c r="G1581" t="s">
        <v>430</v>
      </c>
      <c r="H1581" s="1">
        <v>165</v>
      </c>
      <c r="I1581" s="1" t="s">
        <v>494</v>
      </c>
      <c r="J1581" s="11">
        <v>46014</v>
      </c>
      <c r="K1581" t="s">
        <v>466</v>
      </c>
    </row>
    <row r="1582" spans="7:11" x14ac:dyDescent="0.3">
      <c r="G1582" t="s">
        <v>446</v>
      </c>
      <c r="H1582" s="1">
        <v>1980</v>
      </c>
      <c r="I1582" s="1" t="s">
        <v>494</v>
      </c>
      <c r="J1582" s="11">
        <v>46014</v>
      </c>
      <c r="K1582" t="s">
        <v>90</v>
      </c>
    </row>
    <row r="1583" spans="7:11" x14ac:dyDescent="0.3">
      <c r="G1583" t="s">
        <v>243</v>
      </c>
      <c r="H1583" s="1">
        <v>80</v>
      </c>
      <c r="I1583" s="1" t="s">
        <v>494</v>
      </c>
      <c r="J1583" s="11">
        <v>46014</v>
      </c>
      <c r="K1583" t="s">
        <v>95</v>
      </c>
    </row>
    <row r="1584" spans="7:11" x14ac:dyDescent="0.3">
      <c r="G1584" t="s">
        <v>353</v>
      </c>
      <c r="H1584" s="1">
        <v>650</v>
      </c>
      <c r="I1584" s="1" t="s">
        <v>494</v>
      </c>
      <c r="J1584" s="11">
        <v>46014</v>
      </c>
      <c r="K1584" t="s">
        <v>90</v>
      </c>
    </row>
    <row r="1585" spans="7:11" x14ac:dyDescent="0.3">
      <c r="G1585" t="s">
        <v>170</v>
      </c>
      <c r="H1585" s="1">
        <v>170</v>
      </c>
      <c r="I1585" s="1" t="s">
        <v>494</v>
      </c>
      <c r="J1585" s="11">
        <v>46014</v>
      </c>
      <c r="K1585" t="s">
        <v>170</v>
      </c>
    </row>
    <row r="1586" spans="7:11" x14ac:dyDescent="0.3">
      <c r="G1586" t="s">
        <v>517</v>
      </c>
      <c r="H1586" s="1">
        <v>1700</v>
      </c>
      <c r="I1586" s="1" t="s">
        <v>494</v>
      </c>
      <c r="J1586" s="11">
        <v>46017</v>
      </c>
      <c r="K1586" t="s">
        <v>97</v>
      </c>
    </row>
    <row r="1587" spans="7:11" x14ac:dyDescent="0.3">
      <c r="G1587" t="s">
        <v>516</v>
      </c>
      <c r="H1587" s="1">
        <v>1500</v>
      </c>
      <c r="I1587" s="1" t="s">
        <v>494</v>
      </c>
      <c r="J1587" s="11">
        <v>46017</v>
      </c>
      <c r="K1587" t="s">
        <v>275</v>
      </c>
    </row>
    <row r="1588" spans="7:11" x14ac:dyDescent="0.3">
      <c r="G1588" t="s">
        <v>437</v>
      </c>
      <c r="H1588" s="1">
        <v>2085</v>
      </c>
      <c r="I1588" s="1" t="s">
        <v>494</v>
      </c>
      <c r="J1588" s="11">
        <v>46020</v>
      </c>
      <c r="K1588" t="s">
        <v>96</v>
      </c>
    </row>
    <row r="1589" spans="7:11" x14ac:dyDescent="0.3">
      <c r="G1589" t="s">
        <v>57</v>
      </c>
      <c r="H1589" s="1">
        <v>540</v>
      </c>
      <c r="I1589" s="1" t="s">
        <v>494</v>
      </c>
      <c r="J1589" s="11">
        <v>46020</v>
      </c>
      <c r="K1589" t="s">
        <v>466</v>
      </c>
    </row>
    <row r="1590" spans="7:11" x14ac:dyDescent="0.3">
      <c r="G1590" t="s">
        <v>515</v>
      </c>
      <c r="H1590" s="1">
        <v>1350</v>
      </c>
      <c r="I1590" s="1" t="s">
        <v>494</v>
      </c>
      <c r="J1590" s="11">
        <v>46020</v>
      </c>
      <c r="K1590" t="s">
        <v>96</v>
      </c>
    </row>
    <row r="1591" spans="7:11" x14ac:dyDescent="0.3">
      <c r="G1591" t="s">
        <v>416</v>
      </c>
      <c r="H1591" s="1">
        <v>77</v>
      </c>
      <c r="I1591" s="1" t="s">
        <v>494</v>
      </c>
      <c r="J1591" s="11">
        <v>46021</v>
      </c>
      <c r="K1591" t="s">
        <v>95</v>
      </c>
    </row>
    <row r="1592" spans="7:11" x14ac:dyDescent="0.3">
      <c r="G1592" t="s">
        <v>387</v>
      </c>
      <c r="H1592" s="1">
        <v>460</v>
      </c>
      <c r="I1592" s="1" t="s">
        <v>494</v>
      </c>
      <c r="J1592" s="11">
        <v>46021</v>
      </c>
      <c r="K1592" t="s">
        <v>466</v>
      </c>
    </row>
    <row r="1593" spans="7:11" x14ac:dyDescent="0.3">
      <c r="G1593" t="s">
        <v>519</v>
      </c>
      <c r="H1593" s="1">
        <v>50</v>
      </c>
      <c r="I1593" s="1" t="s">
        <v>518</v>
      </c>
      <c r="J1593" s="11">
        <v>46024</v>
      </c>
      <c r="K1593" t="s">
        <v>96</v>
      </c>
    </row>
    <row r="1594" spans="7:11" x14ac:dyDescent="0.3">
      <c r="G1594" t="s">
        <v>322</v>
      </c>
      <c r="H1594" s="1">
        <v>170</v>
      </c>
      <c r="I1594" s="1" t="s">
        <v>518</v>
      </c>
      <c r="J1594" s="11">
        <v>46024</v>
      </c>
      <c r="K1594" t="s">
        <v>205</v>
      </c>
    </row>
    <row r="1595" spans="7:11" x14ac:dyDescent="0.3">
      <c r="G1595" t="s">
        <v>515</v>
      </c>
      <c r="H1595" s="1">
        <v>500</v>
      </c>
      <c r="I1595" s="1" t="s">
        <v>518</v>
      </c>
      <c r="J1595" s="11">
        <v>46024</v>
      </c>
      <c r="K1595" t="s">
        <v>96</v>
      </c>
    </row>
    <row r="1596" spans="7:11" x14ac:dyDescent="0.3">
      <c r="G1596" t="s">
        <v>333</v>
      </c>
      <c r="H1596" s="1">
        <v>225</v>
      </c>
      <c r="I1596" s="1" t="s">
        <v>518</v>
      </c>
      <c r="J1596" s="11">
        <v>46024</v>
      </c>
      <c r="K1596" t="s">
        <v>466</v>
      </c>
    </row>
    <row r="1597" spans="7:11" x14ac:dyDescent="0.3">
      <c r="G1597" t="s">
        <v>520</v>
      </c>
      <c r="H1597" s="1">
        <v>70</v>
      </c>
      <c r="I1597" s="1" t="s">
        <v>518</v>
      </c>
      <c r="J1597" s="11">
        <v>46024</v>
      </c>
      <c r="K1597" t="s">
        <v>97</v>
      </c>
    </row>
    <row r="1598" spans="7:11" x14ac:dyDescent="0.3">
      <c r="G1598" t="s">
        <v>420</v>
      </c>
      <c r="H1598" s="1">
        <v>2665</v>
      </c>
      <c r="I1598" s="1" t="s">
        <v>518</v>
      </c>
      <c r="J1598" s="11">
        <v>46024</v>
      </c>
      <c r="K1598" t="s">
        <v>90</v>
      </c>
    </row>
    <row r="1599" spans="7:11" x14ac:dyDescent="0.3">
      <c r="G1599" t="s">
        <v>231</v>
      </c>
      <c r="H1599" s="1">
        <v>650</v>
      </c>
      <c r="I1599" s="1" t="s">
        <v>518</v>
      </c>
      <c r="J1599" s="11">
        <v>46027</v>
      </c>
      <c r="K1599" t="s">
        <v>26</v>
      </c>
    </row>
    <row r="1600" spans="7:11" x14ac:dyDescent="0.3">
      <c r="G1600" t="s">
        <v>436</v>
      </c>
      <c r="H1600" s="1">
        <v>2315</v>
      </c>
      <c r="I1600" s="1" t="s">
        <v>518</v>
      </c>
      <c r="J1600" s="11">
        <v>46027</v>
      </c>
      <c r="K1600" t="s">
        <v>2</v>
      </c>
    </row>
    <row r="1601" spans="7:11" x14ac:dyDescent="0.3">
      <c r="G1601" t="s">
        <v>416</v>
      </c>
      <c r="H1601" s="1">
        <v>475</v>
      </c>
      <c r="I1601" s="1" t="s">
        <v>518</v>
      </c>
      <c r="J1601" s="11">
        <v>46027</v>
      </c>
      <c r="K1601" t="s">
        <v>95</v>
      </c>
    </row>
    <row r="1602" spans="7:11" x14ac:dyDescent="0.3">
      <c r="G1602" t="s">
        <v>51</v>
      </c>
      <c r="H1602" s="1">
        <v>20</v>
      </c>
      <c r="I1602" s="1" t="s">
        <v>518</v>
      </c>
      <c r="J1602" s="11">
        <v>46027</v>
      </c>
      <c r="K1602" t="s">
        <v>96</v>
      </c>
    </row>
    <row r="1603" spans="7:11" x14ac:dyDescent="0.3">
      <c r="G1603" t="s">
        <v>456</v>
      </c>
      <c r="H1603" s="1">
        <v>100</v>
      </c>
      <c r="I1603" s="1" t="s">
        <v>518</v>
      </c>
      <c r="J1603" s="11">
        <v>46027</v>
      </c>
      <c r="K1603" t="s">
        <v>90</v>
      </c>
    </row>
    <row r="1604" spans="7:11" x14ac:dyDescent="0.3">
      <c r="G1604" t="s">
        <v>33</v>
      </c>
      <c r="H1604" s="1">
        <v>1535</v>
      </c>
      <c r="I1604" s="1" t="s">
        <v>518</v>
      </c>
      <c r="J1604" s="11">
        <v>46027</v>
      </c>
      <c r="K1604" t="s">
        <v>97</v>
      </c>
    </row>
    <row r="1605" spans="7:11" x14ac:dyDescent="0.3">
      <c r="G1605" t="s">
        <v>298</v>
      </c>
      <c r="H1605" s="1">
        <v>1000</v>
      </c>
      <c r="I1605" s="1" t="s">
        <v>518</v>
      </c>
      <c r="J1605" s="11">
        <v>46027</v>
      </c>
      <c r="K1605" t="s">
        <v>466</v>
      </c>
    </row>
    <row r="1606" spans="7:11" x14ac:dyDescent="0.3">
      <c r="G1606" t="s">
        <v>161</v>
      </c>
      <c r="H1606" s="1">
        <v>450</v>
      </c>
      <c r="I1606" s="1" t="s">
        <v>518</v>
      </c>
      <c r="J1606" s="11">
        <v>46027</v>
      </c>
      <c r="K1606" t="s">
        <v>161</v>
      </c>
    </row>
    <row r="1607" spans="7:11" x14ac:dyDescent="0.3">
      <c r="G1607" t="s">
        <v>32</v>
      </c>
      <c r="H1607" s="1">
        <v>35</v>
      </c>
      <c r="I1607" s="1" t="s">
        <v>518</v>
      </c>
      <c r="J1607" s="11">
        <v>46027</v>
      </c>
      <c r="K1607" t="s">
        <v>97</v>
      </c>
    </row>
    <row r="1608" spans="7:11" x14ac:dyDescent="0.3">
      <c r="G1608" t="s">
        <v>381</v>
      </c>
      <c r="H1608" s="1">
        <v>430.5</v>
      </c>
      <c r="I1608" s="1" t="s">
        <v>518</v>
      </c>
      <c r="J1608" s="11">
        <v>46027</v>
      </c>
      <c r="K1608" t="s">
        <v>466</v>
      </c>
    </row>
    <row r="1609" spans="7:11" x14ac:dyDescent="0.3">
      <c r="G1609" t="s">
        <v>402</v>
      </c>
      <c r="H1609" s="1">
        <v>1075</v>
      </c>
      <c r="I1609" s="1" t="s">
        <v>518</v>
      </c>
      <c r="J1609" s="11">
        <v>46028</v>
      </c>
      <c r="K1609" t="s">
        <v>96</v>
      </c>
    </row>
    <row r="1610" spans="7:11" x14ac:dyDescent="0.3">
      <c r="G1610" t="s">
        <v>402</v>
      </c>
      <c r="H1610" s="1">
        <v>1073.04</v>
      </c>
      <c r="I1610" s="1" t="s">
        <v>518</v>
      </c>
      <c r="J1610" s="11">
        <v>46028</v>
      </c>
      <c r="K1610" t="s">
        <v>96</v>
      </c>
    </row>
    <row r="1611" spans="7:11" x14ac:dyDescent="0.3">
      <c r="G1611" t="s">
        <v>361</v>
      </c>
      <c r="H1611" s="1">
        <v>390</v>
      </c>
      <c r="I1611" s="1" t="s">
        <v>518</v>
      </c>
      <c r="J1611" s="11">
        <v>46028</v>
      </c>
      <c r="K1611" t="s">
        <v>90</v>
      </c>
    </row>
    <row r="1612" spans="7:11" x14ac:dyDescent="0.3">
      <c r="G1612" t="s">
        <v>446</v>
      </c>
      <c r="H1612" s="1">
        <v>865</v>
      </c>
      <c r="I1612" s="1" t="s">
        <v>518</v>
      </c>
      <c r="J1612" s="11">
        <v>46028</v>
      </c>
      <c r="K1612" t="s">
        <v>90</v>
      </c>
    </row>
    <row r="1613" spans="7:11" x14ac:dyDescent="0.3">
      <c r="G1613" t="s">
        <v>60</v>
      </c>
      <c r="H1613" s="1">
        <v>20</v>
      </c>
      <c r="I1613" s="1" t="s">
        <v>518</v>
      </c>
      <c r="J1613" s="11">
        <v>46028</v>
      </c>
      <c r="K1613" t="s">
        <v>96</v>
      </c>
    </row>
    <row r="1614" spans="7:11" x14ac:dyDescent="0.3">
      <c r="G1614" t="s">
        <v>350</v>
      </c>
      <c r="H1614" s="1">
        <v>5</v>
      </c>
      <c r="I1614" s="1" t="s">
        <v>518</v>
      </c>
      <c r="J1614" s="11">
        <v>46028</v>
      </c>
      <c r="K1614" t="s">
        <v>275</v>
      </c>
    </row>
    <row r="1615" spans="7:11" x14ac:dyDescent="0.3">
      <c r="G1615" t="s">
        <v>507</v>
      </c>
      <c r="H1615" s="1">
        <v>300</v>
      </c>
      <c r="I1615" s="1" t="s">
        <v>518</v>
      </c>
      <c r="J1615" s="11">
        <v>46028</v>
      </c>
      <c r="K1615" t="s">
        <v>90</v>
      </c>
    </row>
    <row r="1616" spans="7:11" x14ac:dyDescent="0.3">
      <c r="G1616" t="s">
        <v>386</v>
      </c>
      <c r="H1616" s="1">
        <v>450</v>
      </c>
      <c r="I1616" s="1" t="s">
        <v>518</v>
      </c>
      <c r="J1616" s="11">
        <v>46029</v>
      </c>
      <c r="K1616" t="s">
        <v>90</v>
      </c>
    </row>
    <row r="1617" spans="7:11" x14ac:dyDescent="0.3">
      <c r="G1617" t="s">
        <v>372</v>
      </c>
      <c r="H1617" s="1">
        <v>810</v>
      </c>
      <c r="I1617" s="1" t="s">
        <v>518</v>
      </c>
      <c r="J1617" s="11">
        <v>46029</v>
      </c>
      <c r="K1617" t="s">
        <v>90</v>
      </c>
    </row>
    <row r="1618" spans="7:11" x14ac:dyDescent="0.3">
      <c r="G1618" t="s">
        <v>349</v>
      </c>
      <c r="H1618" s="1">
        <v>890</v>
      </c>
      <c r="I1618" s="1" t="s">
        <v>518</v>
      </c>
      <c r="J1618" s="11">
        <v>46029</v>
      </c>
      <c r="K1618" t="s">
        <v>90</v>
      </c>
    </row>
    <row r="1619" spans="7:11" x14ac:dyDescent="0.3">
      <c r="G1619" t="s">
        <v>33</v>
      </c>
      <c r="H1619" s="1">
        <v>210</v>
      </c>
      <c r="I1619" s="1" t="s">
        <v>518</v>
      </c>
      <c r="J1619" s="11">
        <v>46029</v>
      </c>
      <c r="K1619" t="s">
        <v>97</v>
      </c>
    </row>
    <row r="1620" spans="7:11" x14ac:dyDescent="0.3">
      <c r="G1620" t="s">
        <v>33</v>
      </c>
      <c r="H1620" s="1">
        <v>325</v>
      </c>
      <c r="I1620" s="1" t="s">
        <v>518</v>
      </c>
      <c r="J1620" s="11">
        <v>46029</v>
      </c>
      <c r="K1620" t="s">
        <v>97</v>
      </c>
    </row>
    <row r="1621" spans="7:11" x14ac:dyDescent="0.3">
      <c r="G1621" t="s">
        <v>149</v>
      </c>
      <c r="H1621" s="1">
        <v>545</v>
      </c>
      <c r="I1621" s="1" t="s">
        <v>518</v>
      </c>
      <c r="J1621" s="11">
        <v>46029</v>
      </c>
      <c r="K1621" t="s">
        <v>210</v>
      </c>
    </row>
    <row r="1622" spans="7:11" x14ac:dyDescent="0.3">
      <c r="G1622" t="s">
        <v>521</v>
      </c>
      <c r="H1622" s="1">
        <v>500</v>
      </c>
      <c r="I1622" s="1" t="s">
        <v>518</v>
      </c>
      <c r="J1622" s="11">
        <v>46029</v>
      </c>
      <c r="K1622" t="s">
        <v>275</v>
      </c>
    </row>
    <row r="1623" spans="7:11" x14ac:dyDescent="0.3">
      <c r="G1623" t="s">
        <v>437</v>
      </c>
      <c r="H1623" s="1">
        <v>800</v>
      </c>
      <c r="I1623" s="1" t="s">
        <v>518</v>
      </c>
      <c r="J1623" s="11">
        <v>46029</v>
      </c>
      <c r="K1623" t="s">
        <v>96</v>
      </c>
    </row>
    <row r="1624" spans="7:11" x14ac:dyDescent="0.3">
      <c r="G1624" t="s">
        <v>243</v>
      </c>
      <c r="H1624" s="1">
        <v>160</v>
      </c>
      <c r="I1624" s="1" t="s">
        <v>518</v>
      </c>
      <c r="J1624" s="11">
        <v>46029</v>
      </c>
      <c r="K1624" t="s">
        <v>95</v>
      </c>
    </row>
    <row r="1625" spans="7:11" x14ac:dyDescent="0.3">
      <c r="G1625" t="s">
        <v>243</v>
      </c>
      <c r="H1625" s="1">
        <v>40</v>
      </c>
      <c r="I1625" s="1" t="s">
        <v>518</v>
      </c>
      <c r="J1625" s="11">
        <v>46029</v>
      </c>
      <c r="K1625" t="s">
        <v>95</v>
      </c>
    </row>
    <row r="1626" spans="7:11" x14ac:dyDescent="0.3">
      <c r="G1626" t="s">
        <v>353</v>
      </c>
      <c r="H1626" s="1">
        <v>780</v>
      </c>
      <c r="I1626" s="1" t="s">
        <v>518</v>
      </c>
      <c r="J1626" s="11">
        <v>46029</v>
      </c>
      <c r="K1626" t="s">
        <v>90</v>
      </c>
    </row>
    <row r="1627" spans="7:11" x14ac:dyDescent="0.3">
      <c r="G1627" t="s">
        <v>299</v>
      </c>
      <c r="H1627" s="1">
        <v>800</v>
      </c>
      <c r="I1627" s="1" t="s">
        <v>518</v>
      </c>
      <c r="J1627" s="11">
        <v>46030</v>
      </c>
      <c r="K1627" t="s">
        <v>466</v>
      </c>
    </row>
    <row r="1628" spans="7:11" x14ac:dyDescent="0.3">
      <c r="G1628" t="s">
        <v>376</v>
      </c>
      <c r="H1628" s="1">
        <v>2085</v>
      </c>
      <c r="I1628" s="1" t="s">
        <v>518</v>
      </c>
      <c r="J1628" s="11">
        <v>46030</v>
      </c>
      <c r="K1628" t="s">
        <v>466</v>
      </c>
    </row>
    <row r="1629" spans="7:11" x14ac:dyDescent="0.3">
      <c r="G1629" t="s">
        <v>431</v>
      </c>
      <c r="H1629" s="1">
        <v>4000</v>
      </c>
      <c r="I1629" s="1" t="s">
        <v>518</v>
      </c>
      <c r="J1629" s="11">
        <v>46030</v>
      </c>
      <c r="K1629" t="s">
        <v>466</v>
      </c>
    </row>
    <row r="1630" spans="7:11" x14ac:dyDescent="0.3">
      <c r="G1630" t="s">
        <v>332</v>
      </c>
      <c r="H1630" s="1">
        <v>2000</v>
      </c>
      <c r="I1630" s="1" t="s">
        <v>518</v>
      </c>
      <c r="J1630" s="11">
        <v>46030</v>
      </c>
      <c r="K1630" t="s">
        <v>466</v>
      </c>
    </row>
    <row r="1631" spans="7:11" x14ac:dyDescent="0.3">
      <c r="G1631" t="s">
        <v>430</v>
      </c>
      <c r="H1631" s="1">
        <v>2355</v>
      </c>
      <c r="I1631" s="1" t="s">
        <v>518</v>
      </c>
      <c r="J1631" s="11">
        <v>46030</v>
      </c>
      <c r="K1631" t="s">
        <v>466</v>
      </c>
    </row>
    <row r="1632" spans="7:11" x14ac:dyDescent="0.3">
      <c r="G1632" t="s">
        <v>152</v>
      </c>
      <c r="H1632" s="1">
        <v>5000</v>
      </c>
      <c r="I1632" s="1" t="s">
        <v>518</v>
      </c>
      <c r="J1632" s="11">
        <v>46030</v>
      </c>
      <c r="K1632" t="s">
        <v>152</v>
      </c>
    </row>
    <row r="1633" spans="7:11" x14ac:dyDescent="0.3">
      <c r="G1633" t="s">
        <v>161</v>
      </c>
      <c r="H1633" s="1">
        <v>600</v>
      </c>
      <c r="I1633" s="1" t="s">
        <v>518</v>
      </c>
      <c r="J1633" s="11">
        <v>46031</v>
      </c>
      <c r="K1633" t="s">
        <v>161</v>
      </c>
    </row>
    <row r="1634" spans="7:11" x14ac:dyDescent="0.3">
      <c r="G1634" t="s">
        <v>414</v>
      </c>
      <c r="H1634" s="1">
        <v>755</v>
      </c>
      <c r="I1634" s="1" t="s">
        <v>518</v>
      </c>
      <c r="J1634" s="11">
        <v>46031</v>
      </c>
      <c r="K1634" t="s">
        <v>270</v>
      </c>
    </row>
    <row r="1635" spans="7:11" x14ac:dyDescent="0.3">
      <c r="G1635" t="s">
        <v>60</v>
      </c>
      <c r="H1635" s="1">
        <v>85</v>
      </c>
      <c r="I1635" s="1" t="s">
        <v>518</v>
      </c>
      <c r="J1635" s="11">
        <v>46031</v>
      </c>
      <c r="K1635" t="s">
        <v>162</v>
      </c>
    </row>
    <row r="1636" spans="7:11" x14ac:dyDescent="0.3">
      <c r="G1636" t="s">
        <v>169</v>
      </c>
      <c r="H1636" s="1">
        <v>139</v>
      </c>
      <c r="I1636" s="1" t="s">
        <v>518</v>
      </c>
      <c r="J1636" s="11">
        <v>46031</v>
      </c>
      <c r="K1636" t="s">
        <v>96</v>
      </c>
    </row>
    <row r="1637" spans="7:11" x14ac:dyDescent="0.3">
      <c r="G1637" t="s">
        <v>169</v>
      </c>
      <c r="H1637" s="1">
        <v>290</v>
      </c>
      <c r="I1637" s="1" t="s">
        <v>518</v>
      </c>
      <c r="J1637" s="11">
        <v>46031</v>
      </c>
      <c r="K1637" t="s">
        <v>96</v>
      </c>
    </row>
    <row r="1638" spans="7:11" x14ac:dyDescent="0.3">
      <c r="G1638" t="s">
        <v>522</v>
      </c>
      <c r="H1638" s="1">
        <v>15</v>
      </c>
      <c r="I1638" s="1" t="s">
        <v>518</v>
      </c>
      <c r="J1638" s="11">
        <v>46031</v>
      </c>
      <c r="K1638" t="s">
        <v>275</v>
      </c>
    </row>
    <row r="1639" spans="7:11" x14ac:dyDescent="0.3">
      <c r="G1639" t="s">
        <v>298</v>
      </c>
      <c r="H1639" s="1">
        <v>100</v>
      </c>
      <c r="I1639" s="1" t="s">
        <v>518</v>
      </c>
      <c r="J1639" s="11">
        <v>46031</v>
      </c>
      <c r="K1639" t="s">
        <v>466</v>
      </c>
    </row>
    <row r="1640" spans="7:11" x14ac:dyDescent="0.3">
      <c r="G1640" t="s">
        <v>446</v>
      </c>
      <c r="H1640" s="1">
        <v>1645</v>
      </c>
      <c r="I1640" s="1" t="s">
        <v>518</v>
      </c>
      <c r="J1640" s="11">
        <v>46031</v>
      </c>
      <c r="K1640" t="s">
        <v>270</v>
      </c>
    </row>
    <row r="1641" spans="7:11" x14ac:dyDescent="0.3">
      <c r="G1641" t="s">
        <v>420</v>
      </c>
      <c r="H1641" s="1">
        <v>1460</v>
      </c>
      <c r="I1641" s="1" t="s">
        <v>518</v>
      </c>
      <c r="J1641" s="11">
        <v>46032</v>
      </c>
      <c r="K1641" t="s">
        <v>270</v>
      </c>
    </row>
    <row r="1642" spans="7:11" x14ac:dyDescent="0.3">
      <c r="G1642" t="s">
        <v>51</v>
      </c>
      <c r="H1642" s="1">
        <v>150</v>
      </c>
      <c r="I1642" s="1" t="s">
        <v>518</v>
      </c>
      <c r="J1642" s="11">
        <v>46032</v>
      </c>
      <c r="K1642" t="s">
        <v>97</v>
      </c>
    </row>
    <row r="1643" spans="7:11" x14ac:dyDescent="0.3">
      <c r="G1643" t="s">
        <v>169</v>
      </c>
      <c r="H1643" s="1">
        <v>50</v>
      </c>
      <c r="I1643" s="1" t="s">
        <v>518</v>
      </c>
      <c r="J1643" s="11">
        <v>46032</v>
      </c>
      <c r="K1643" t="s">
        <v>96</v>
      </c>
    </row>
    <row r="1644" spans="7:11" x14ac:dyDescent="0.3">
      <c r="G1644" t="s">
        <v>434</v>
      </c>
      <c r="H1644" s="1">
        <v>680</v>
      </c>
      <c r="I1644" s="1" t="s">
        <v>518</v>
      </c>
      <c r="J1644" s="11">
        <v>46032</v>
      </c>
      <c r="K1644" t="s">
        <v>270</v>
      </c>
    </row>
    <row r="1645" spans="7:11" x14ac:dyDescent="0.3">
      <c r="G1645" t="s">
        <v>322</v>
      </c>
      <c r="H1645" s="1">
        <v>170</v>
      </c>
      <c r="I1645" s="1" t="s">
        <v>518</v>
      </c>
      <c r="J1645" s="11">
        <v>46032</v>
      </c>
      <c r="K1645" t="s">
        <v>205</v>
      </c>
    </row>
    <row r="1646" spans="7:11" x14ac:dyDescent="0.3">
      <c r="G1646" t="s">
        <v>523</v>
      </c>
      <c r="H1646" s="1">
        <v>40</v>
      </c>
      <c r="I1646" s="1" t="s">
        <v>518</v>
      </c>
      <c r="J1646" s="11">
        <v>46032</v>
      </c>
      <c r="K1646" t="s">
        <v>96</v>
      </c>
    </row>
    <row r="1647" spans="7:11" x14ac:dyDescent="0.3">
      <c r="G1647" t="s">
        <v>420</v>
      </c>
      <c r="H1647" s="1">
        <v>200</v>
      </c>
      <c r="I1647" s="1" t="s">
        <v>518</v>
      </c>
      <c r="J1647" s="11">
        <v>46034</v>
      </c>
      <c r="K1647" t="s">
        <v>270</v>
      </c>
    </row>
    <row r="1648" spans="7:11" x14ac:dyDescent="0.3">
      <c r="G1648" t="s">
        <v>349</v>
      </c>
      <c r="H1648" s="1">
        <v>1230</v>
      </c>
      <c r="I1648" s="1" t="s">
        <v>518</v>
      </c>
      <c r="J1648" s="11">
        <v>46034</v>
      </c>
      <c r="K1648" t="s">
        <v>270</v>
      </c>
    </row>
    <row r="1649" spans="7:11" x14ac:dyDescent="0.3">
      <c r="G1649" t="s">
        <v>229</v>
      </c>
      <c r="H1649" s="1">
        <v>280</v>
      </c>
      <c r="I1649" s="1" t="s">
        <v>518</v>
      </c>
      <c r="J1649" s="11">
        <v>46034</v>
      </c>
      <c r="K1649" t="s">
        <v>95</v>
      </c>
    </row>
    <row r="1650" spans="7:11" x14ac:dyDescent="0.3">
      <c r="G1650" t="s">
        <v>524</v>
      </c>
      <c r="H1650" s="1">
        <v>3500</v>
      </c>
      <c r="I1650" s="1" t="s">
        <v>518</v>
      </c>
      <c r="J1650" s="11">
        <v>46034</v>
      </c>
      <c r="K1650" t="s">
        <v>351</v>
      </c>
    </row>
    <row r="1651" spans="7:11" x14ac:dyDescent="0.3">
      <c r="G1651" t="s">
        <v>170</v>
      </c>
      <c r="H1651" s="1">
        <v>170</v>
      </c>
      <c r="I1651" s="1" t="s">
        <v>518</v>
      </c>
      <c r="J1651" s="11">
        <v>46034</v>
      </c>
      <c r="K1651" t="s">
        <v>170</v>
      </c>
    </row>
    <row r="1652" spans="7:11" x14ac:dyDescent="0.3">
      <c r="G1652" t="s">
        <v>60</v>
      </c>
      <c r="H1652" s="1">
        <v>20</v>
      </c>
      <c r="I1652" s="1" t="s">
        <v>518</v>
      </c>
      <c r="J1652" s="11">
        <v>46034</v>
      </c>
      <c r="K1652" t="s">
        <v>96</v>
      </c>
    </row>
    <row r="1653" spans="7:11" x14ac:dyDescent="0.3">
      <c r="G1653" t="s">
        <v>33</v>
      </c>
      <c r="H1653" s="1">
        <v>750</v>
      </c>
      <c r="I1653" s="1" t="s">
        <v>518</v>
      </c>
      <c r="J1653" s="11">
        <v>46034</v>
      </c>
      <c r="K1653" t="s">
        <v>97</v>
      </c>
    </row>
    <row r="1654" spans="7:11" x14ac:dyDescent="0.3">
      <c r="G1654" t="s">
        <v>525</v>
      </c>
      <c r="H1654" s="1">
        <v>150</v>
      </c>
      <c r="I1654" s="1" t="s">
        <v>518</v>
      </c>
      <c r="J1654" s="11">
        <v>46034</v>
      </c>
      <c r="K1654" t="s">
        <v>275</v>
      </c>
    </row>
    <row r="1655" spans="7:11" x14ac:dyDescent="0.3">
      <c r="G1655" t="s">
        <v>243</v>
      </c>
      <c r="H1655" s="1">
        <v>430</v>
      </c>
      <c r="I1655" s="1" t="s">
        <v>518</v>
      </c>
      <c r="J1655" s="11">
        <v>46034</v>
      </c>
      <c r="K1655" t="s">
        <v>95</v>
      </c>
    </row>
    <row r="1656" spans="7:11" x14ac:dyDescent="0.3">
      <c r="G1656" t="s">
        <v>446</v>
      </c>
      <c r="H1656" s="1">
        <v>1050</v>
      </c>
      <c r="I1656" s="1" t="s">
        <v>518</v>
      </c>
      <c r="J1656" s="11">
        <v>46034</v>
      </c>
      <c r="K1656" t="s">
        <v>270</v>
      </c>
    </row>
    <row r="1657" spans="7:11" x14ac:dyDescent="0.3">
      <c r="G1657" t="s">
        <v>149</v>
      </c>
      <c r="H1657" s="1">
        <v>195</v>
      </c>
      <c r="I1657" s="1" t="s">
        <v>518</v>
      </c>
      <c r="J1657" s="11">
        <v>46034</v>
      </c>
      <c r="K1657" t="s">
        <v>210</v>
      </c>
    </row>
    <row r="1658" spans="7:11" x14ac:dyDescent="0.3">
      <c r="G1658" t="s">
        <v>374</v>
      </c>
      <c r="H1658" s="1">
        <v>910</v>
      </c>
      <c r="I1658" s="1" t="s">
        <v>518</v>
      </c>
      <c r="J1658" s="11">
        <v>46034</v>
      </c>
      <c r="K1658" t="s">
        <v>270</v>
      </c>
    </row>
    <row r="1659" spans="7:11" x14ac:dyDescent="0.3">
      <c r="G1659" t="s">
        <v>372</v>
      </c>
      <c r="H1659" s="1">
        <v>560</v>
      </c>
      <c r="I1659" s="1" t="s">
        <v>518</v>
      </c>
      <c r="J1659" s="11">
        <v>46034</v>
      </c>
      <c r="K1659" t="s">
        <v>270</v>
      </c>
    </row>
    <row r="1660" spans="7:11" x14ac:dyDescent="0.3">
      <c r="G1660" t="s">
        <v>33</v>
      </c>
      <c r="H1660" s="1">
        <v>210</v>
      </c>
      <c r="I1660" s="1" t="s">
        <v>518</v>
      </c>
      <c r="J1660" s="11">
        <v>46034</v>
      </c>
      <c r="K1660" t="s">
        <v>97</v>
      </c>
    </row>
    <row r="1661" spans="7:11" x14ac:dyDescent="0.3">
      <c r="G1661" t="s">
        <v>526</v>
      </c>
      <c r="H1661" s="1">
        <v>291</v>
      </c>
      <c r="I1661" s="1" t="s">
        <v>518</v>
      </c>
      <c r="J1661" s="11">
        <v>46034</v>
      </c>
      <c r="K1661" t="s">
        <v>97</v>
      </c>
    </row>
    <row r="1662" spans="7:11" x14ac:dyDescent="0.3">
      <c r="G1662" t="s">
        <v>420</v>
      </c>
      <c r="H1662" s="1">
        <v>660</v>
      </c>
      <c r="I1662" s="1" t="s">
        <v>518</v>
      </c>
      <c r="J1662" s="11">
        <v>46035</v>
      </c>
      <c r="K1662" t="s">
        <v>270</v>
      </c>
    </row>
    <row r="1663" spans="7:11" x14ac:dyDescent="0.3">
      <c r="G1663" t="s">
        <v>225</v>
      </c>
      <c r="H1663" s="1">
        <v>1500</v>
      </c>
      <c r="I1663" s="1" t="s">
        <v>518</v>
      </c>
      <c r="J1663" s="11">
        <v>46035</v>
      </c>
      <c r="K1663" t="s">
        <v>61</v>
      </c>
    </row>
    <row r="1664" spans="7:11" x14ac:dyDescent="0.3">
      <c r="G1664" t="s">
        <v>353</v>
      </c>
      <c r="H1664" s="1">
        <v>1430</v>
      </c>
      <c r="I1664" s="1" t="s">
        <v>518</v>
      </c>
      <c r="J1664" s="11">
        <v>46035</v>
      </c>
      <c r="K1664" t="s">
        <v>270</v>
      </c>
    </row>
    <row r="1665" spans="7:11" x14ac:dyDescent="0.3">
      <c r="G1665" t="s">
        <v>493</v>
      </c>
      <c r="H1665" s="1">
        <v>200</v>
      </c>
      <c r="I1665" s="1" t="s">
        <v>518</v>
      </c>
      <c r="J1665" s="11">
        <v>46035</v>
      </c>
      <c r="K1665" t="s">
        <v>95</v>
      </c>
    </row>
    <row r="1666" spans="7:11" x14ac:dyDescent="0.3">
      <c r="G1666" t="s">
        <v>243</v>
      </c>
      <c r="H1666" s="1">
        <v>160</v>
      </c>
      <c r="I1666" s="1" t="s">
        <v>518</v>
      </c>
      <c r="J1666" s="11">
        <v>46035</v>
      </c>
      <c r="K1666" t="s">
        <v>95</v>
      </c>
    </row>
    <row r="1667" spans="7:11" x14ac:dyDescent="0.3">
      <c r="G1667" t="s">
        <v>448</v>
      </c>
      <c r="H1667" s="1">
        <v>490</v>
      </c>
      <c r="I1667" s="1" t="s">
        <v>518</v>
      </c>
      <c r="J1667" s="11">
        <v>46037</v>
      </c>
      <c r="K1667" t="s">
        <v>95</v>
      </c>
    </row>
    <row r="1668" spans="7:11" x14ac:dyDescent="0.3">
      <c r="G1668" t="s">
        <v>229</v>
      </c>
      <c r="H1668" s="1">
        <v>280</v>
      </c>
      <c r="I1668" s="1" t="s">
        <v>518</v>
      </c>
      <c r="J1668" s="11">
        <v>46037</v>
      </c>
      <c r="K1668" t="s">
        <v>95</v>
      </c>
    </row>
    <row r="1669" spans="7:11" x14ac:dyDescent="0.3">
      <c r="G1669" t="s">
        <v>229</v>
      </c>
      <c r="H1669" s="1">
        <v>280</v>
      </c>
      <c r="I1669" s="1" t="s">
        <v>518</v>
      </c>
      <c r="J1669" s="11">
        <v>46037</v>
      </c>
      <c r="K1669" t="s">
        <v>95</v>
      </c>
    </row>
    <row r="1670" spans="7:11" x14ac:dyDescent="0.3">
      <c r="G1670" t="s">
        <v>243</v>
      </c>
      <c r="H1670" s="1">
        <v>80</v>
      </c>
      <c r="I1670" s="1" t="s">
        <v>518</v>
      </c>
      <c r="J1670" s="11">
        <v>46037</v>
      </c>
      <c r="K1670" t="s">
        <v>95</v>
      </c>
    </row>
    <row r="1671" spans="7:11" x14ac:dyDescent="0.3">
      <c r="G1671" t="s">
        <v>454</v>
      </c>
      <c r="H1671" s="1">
        <v>1080</v>
      </c>
      <c r="I1671" s="1" t="s">
        <v>518</v>
      </c>
      <c r="J1671" s="11">
        <v>46037</v>
      </c>
      <c r="K1671" t="s">
        <v>270</v>
      </c>
    </row>
    <row r="1672" spans="7:11" x14ac:dyDescent="0.3">
      <c r="G1672" t="s">
        <v>230</v>
      </c>
      <c r="H1672" s="1">
        <v>200</v>
      </c>
      <c r="I1672" s="1" t="s">
        <v>518</v>
      </c>
      <c r="J1672" s="11">
        <v>46037</v>
      </c>
      <c r="K1672" t="s">
        <v>26</v>
      </c>
    </row>
    <row r="1673" spans="7:11" x14ac:dyDescent="0.3">
      <c r="G1673" t="s">
        <v>298</v>
      </c>
      <c r="H1673" s="1">
        <v>1620</v>
      </c>
      <c r="I1673" s="1" t="s">
        <v>518</v>
      </c>
      <c r="J1673" s="11">
        <v>46037</v>
      </c>
      <c r="K1673" t="s">
        <v>466</v>
      </c>
    </row>
    <row r="1674" spans="7:11" x14ac:dyDescent="0.3">
      <c r="G1674" t="s">
        <v>280</v>
      </c>
      <c r="H1674" s="1">
        <v>255</v>
      </c>
      <c r="I1674" s="1" t="s">
        <v>518</v>
      </c>
      <c r="J1674" s="11">
        <v>45673</v>
      </c>
      <c r="K1674" t="s">
        <v>275</v>
      </c>
    </row>
    <row r="1675" spans="7:11" x14ac:dyDescent="0.3">
      <c r="G1675" t="s">
        <v>357</v>
      </c>
      <c r="H1675" s="1">
        <v>580</v>
      </c>
      <c r="I1675" s="1" t="s">
        <v>518</v>
      </c>
      <c r="J1675" s="11">
        <v>45673</v>
      </c>
      <c r="K1675" t="s">
        <v>90</v>
      </c>
    </row>
    <row r="1676" spans="7:11" x14ac:dyDescent="0.3">
      <c r="G1676" t="s">
        <v>33</v>
      </c>
      <c r="H1676" s="1">
        <v>855</v>
      </c>
      <c r="I1676" s="1" t="s">
        <v>518</v>
      </c>
      <c r="J1676" s="11">
        <v>45673</v>
      </c>
      <c r="K1676" t="s">
        <v>97</v>
      </c>
    </row>
    <row r="1677" spans="7:11" x14ac:dyDescent="0.3">
      <c r="G1677" t="s">
        <v>446</v>
      </c>
      <c r="H1677" s="1">
        <v>925</v>
      </c>
      <c r="I1677" s="1" t="s">
        <v>518</v>
      </c>
      <c r="J1677" s="11">
        <v>45673</v>
      </c>
      <c r="K1677" t="s">
        <v>90</v>
      </c>
    </row>
    <row r="1678" spans="7:11" x14ac:dyDescent="0.3">
      <c r="G1678" t="s">
        <v>414</v>
      </c>
      <c r="H1678" s="1">
        <v>915</v>
      </c>
      <c r="I1678" s="1" t="s">
        <v>518</v>
      </c>
      <c r="J1678" s="11">
        <v>45673</v>
      </c>
      <c r="K1678" t="s">
        <v>90</v>
      </c>
    </row>
    <row r="1679" spans="7:11" x14ac:dyDescent="0.3">
      <c r="G1679" t="s">
        <v>149</v>
      </c>
      <c r="H1679" s="1">
        <v>175</v>
      </c>
      <c r="I1679" s="1" t="s">
        <v>518</v>
      </c>
      <c r="J1679" s="11">
        <v>45673</v>
      </c>
      <c r="K1679" t="s">
        <v>210</v>
      </c>
    </row>
    <row r="1680" spans="7:11" x14ac:dyDescent="0.3">
      <c r="G1680" t="s">
        <v>434</v>
      </c>
      <c r="H1680" s="1">
        <v>595</v>
      </c>
      <c r="I1680" s="1" t="s">
        <v>518</v>
      </c>
      <c r="J1680" s="11">
        <v>45673</v>
      </c>
      <c r="K1680" t="s">
        <v>90</v>
      </c>
    </row>
    <row r="1681" spans="7:11" x14ac:dyDescent="0.3">
      <c r="G1681" t="s">
        <v>322</v>
      </c>
      <c r="H1681" s="1">
        <v>170</v>
      </c>
      <c r="I1681" s="1" t="s">
        <v>518</v>
      </c>
      <c r="J1681" s="11">
        <v>45673</v>
      </c>
      <c r="K1681" t="s">
        <v>205</v>
      </c>
    </row>
    <row r="1682" spans="7:11" x14ac:dyDescent="0.3">
      <c r="G1682" t="s">
        <v>223</v>
      </c>
      <c r="H1682" s="1">
        <v>270</v>
      </c>
      <c r="I1682" s="1" t="s">
        <v>518</v>
      </c>
      <c r="J1682" s="11">
        <v>45673</v>
      </c>
      <c r="K1682" t="s">
        <v>26</v>
      </c>
    </row>
    <row r="1683" spans="7:11" x14ac:dyDescent="0.3">
      <c r="G1683" t="s">
        <v>60</v>
      </c>
      <c r="H1683" s="1">
        <v>175</v>
      </c>
      <c r="I1683" s="1" t="s">
        <v>518</v>
      </c>
      <c r="J1683" s="11">
        <v>45673</v>
      </c>
      <c r="K1683" t="s">
        <v>97</v>
      </c>
    </row>
    <row r="1684" spans="7:11" x14ac:dyDescent="0.3">
      <c r="G1684" t="s">
        <v>527</v>
      </c>
      <c r="H1684" s="1">
        <v>150</v>
      </c>
      <c r="I1684" s="1" t="s">
        <v>518</v>
      </c>
      <c r="J1684" s="11">
        <v>45673</v>
      </c>
      <c r="K1684" t="s">
        <v>97</v>
      </c>
    </row>
    <row r="1685" spans="7:11" x14ac:dyDescent="0.3">
      <c r="G1685" t="s">
        <v>478</v>
      </c>
      <c r="H1685" s="1">
        <v>7765</v>
      </c>
      <c r="I1685" s="1" t="s">
        <v>518</v>
      </c>
      <c r="J1685" s="11">
        <v>45673</v>
      </c>
      <c r="K1685" t="s">
        <v>477</v>
      </c>
    </row>
    <row r="1686" spans="7:11" x14ac:dyDescent="0.3">
      <c r="G1686" t="s">
        <v>528</v>
      </c>
      <c r="H1686" s="1">
        <v>1130</v>
      </c>
      <c r="I1686" s="1" t="s">
        <v>518</v>
      </c>
      <c r="J1686" s="11">
        <v>45673</v>
      </c>
      <c r="K1686" t="s">
        <v>95</v>
      </c>
    </row>
    <row r="1687" spans="7:11" x14ac:dyDescent="0.3">
      <c r="G1687" t="s">
        <v>34</v>
      </c>
      <c r="H1687" s="1">
        <v>15</v>
      </c>
      <c r="I1687" s="1" t="s">
        <v>518</v>
      </c>
      <c r="J1687" s="11">
        <v>45673</v>
      </c>
      <c r="K1687" t="s">
        <v>97</v>
      </c>
    </row>
    <row r="1688" spans="7:11" x14ac:dyDescent="0.3">
      <c r="G1688" t="s">
        <v>529</v>
      </c>
      <c r="H1688" s="1">
        <v>70</v>
      </c>
      <c r="I1688" s="1" t="s">
        <v>518</v>
      </c>
      <c r="J1688" s="11">
        <v>45673</v>
      </c>
      <c r="K1688" t="s">
        <v>97</v>
      </c>
    </row>
    <row r="1048565" spans="9:10" x14ac:dyDescent="0.3">
      <c r="I1048565"/>
    </row>
    <row r="1048566" spans="9:10" x14ac:dyDescent="0.3">
      <c r="I1048566"/>
    </row>
    <row r="1048567" spans="9:10" x14ac:dyDescent="0.3">
      <c r="I1048567"/>
    </row>
    <row r="1048568" spans="9:10" x14ac:dyDescent="0.3">
      <c r="I1048568"/>
    </row>
    <row r="1048569" spans="9:10" x14ac:dyDescent="0.3">
      <c r="I1048569"/>
    </row>
    <row r="1048570" spans="9:10" x14ac:dyDescent="0.3">
      <c r="I1048570"/>
    </row>
    <row r="1048572" spans="9:10" x14ac:dyDescent="0.3">
      <c r="J1048572" s="21"/>
    </row>
  </sheetData>
  <phoneticPr fontId="5" type="noConversion"/>
  <pageMargins left="0.511811024" right="0.511811024" top="0.78740157499999996" bottom="0.78740157499999996" header="0.31496062000000002" footer="0.31496062000000002"/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9512C-E4DA-4581-9BA8-C6891A3C9669}">
  <dimension ref="C1:E46"/>
  <sheetViews>
    <sheetView topLeftCell="A26" workbookViewId="0">
      <selection activeCell="D53" sqref="D53"/>
    </sheetView>
  </sheetViews>
  <sheetFormatPr defaultRowHeight="14.4" x14ac:dyDescent="0.3"/>
  <cols>
    <col min="3" max="3" width="23.21875" bestFit="1" customWidth="1"/>
    <col min="4" max="4" width="14" bestFit="1" customWidth="1"/>
    <col min="5" max="5" width="10" bestFit="1" customWidth="1"/>
  </cols>
  <sheetData>
    <row r="1" spans="3:4" x14ac:dyDescent="0.3">
      <c r="C1" s="8" t="s">
        <v>154</v>
      </c>
      <c r="D1" s="8" t="s">
        <v>5</v>
      </c>
    </row>
    <row r="2" spans="3:4" x14ac:dyDescent="0.3">
      <c r="C2" s="4" t="s">
        <v>155</v>
      </c>
      <c r="D2" s="1">
        <v>60</v>
      </c>
    </row>
    <row r="3" spans="3:4" x14ac:dyDescent="0.3">
      <c r="C3" s="4" t="s">
        <v>152</v>
      </c>
      <c r="D3" s="1">
        <v>16500</v>
      </c>
    </row>
    <row r="4" spans="3:4" x14ac:dyDescent="0.3">
      <c r="C4" s="4" t="s">
        <v>151</v>
      </c>
      <c r="D4" s="1">
        <v>18000</v>
      </c>
    </row>
    <row r="5" spans="3:4" x14ac:dyDescent="0.3">
      <c r="C5" s="4" t="s">
        <v>156</v>
      </c>
      <c r="D5" s="1">
        <v>5000</v>
      </c>
    </row>
    <row r="6" spans="3:4" x14ac:dyDescent="0.3">
      <c r="C6" s="4" t="s">
        <v>157</v>
      </c>
      <c r="D6" s="1">
        <v>145</v>
      </c>
    </row>
    <row r="7" spans="3:4" x14ac:dyDescent="0.3">
      <c r="C7" s="4" t="s">
        <v>22</v>
      </c>
      <c r="D7" s="1">
        <v>3500</v>
      </c>
    </row>
    <row r="8" spans="3:4" x14ac:dyDescent="0.3">
      <c r="C8" s="4" t="s">
        <v>17</v>
      </c>
      <c r="D8" s="1">
        <v>4350</v>
      </c>
    </row>
    <row r="9" spans="3:4" x14ac:dyDescent="0.3">
      <c r="C9" s="4" t="s">
        <v>158</v>
      </c>
      <c r="D9" s="1">
        <v>10500</v>
      </c>
    </row>
    <row r="10" spans="3:4" x14ac:dyDescent="0.3">
      <c r="C10" s="4" t="s">
        <v>159</v>
      </c>
      <c r="D10" s="1">
        <v>1200</v>
      </c>
    </row>
    <row r="11" spans="3:4" x14ac:dyDescent="0.3">
      <c r="C11" s="4" t="s">
        <v>160</v>
      </c>
      <c r="D11" s="1">
        <v>1200</v>
      </c>
    </row>
    <row r="12" spans="3:4" x14ac:dyDescent="0.3">
      <c r="C12" s="4" t="s">
        <v>161</v>
      </c>
      <c r="D12" s="1">
        <v>600</v>
      </c>
    </row>
    <row r="13" spans="3:4" x14ac:dyDescent="0.3">
      <c r="C13" s="4" t="s">
        <v>162</v>
      </c>
      <c r="D13" s="1">
        <v>225</v>
      </c>
    </row>
    <row r="14" spans="3:4" x14ac:dyDescent="0.3">
      <c r="C14" s="4" t="s">
        <v>163</v>
      </c>
      <c r="D14" s="1">
        <v>510</v>
      </c>
    </row>
    <row r="15" spans="3:4" x14ac:dyDescent="0.3">
      <c r="C15" s="4" t="s">
        <v>164</v>
      </c>
      <c r="D15" s="1">
        <v>740</v>
      </c>
    </row>
    <row r="16" spans="3:4" x14ac:dyDescent="0.3">
      <c r="C16" s="4" t="s">
        <v>165</v>
      </c>
      <c r="D16" s="1">
        <v>16000</v>
      </c>
    </row>
    <row r="17" spans="3:4" x14ac:dyDescent="0.3">
      <c r="C17" s="4" t="s">
        <v>16</v>
      </c>
      <c r="D17" s="1">
        <v>1850</v>
      </c>
    </row>
    <row r="18" spans="3:4" x14ac:dyDescent="0.3">
      <c r="C18" s="4" t="s">
        <v>166</v>
      </c>
      <c r="D18" s="1">
        <v>620</v>
      </c>
    </row>
    <row r="19" spans="3:4" x14ac:dyDescent="0.3">
      <c r="C19" s="4" t="s">
        <v>51</v>
      </c>
      <c r="D19" s="1">
        <v>2650</v>
      </c>
    </row>
    <row r="20" spans="3:4" x14ac:dyDescent="0.3">
      <c r="C20" s="4" t="s">
        <v>167</v>
      </c>
      <c r="D20" s="1">
        <v>365</v>
      </c>
    </row>
    <row r="21" spans="3:4" x14ac:dyDescent="0.3">
      <c r="C21" s="4" t="s">
        <v>168</v>
      </c>
      <c r="D21" s="1">
        <v>2400</v>
      </c>
    </row>
    <row r="22" spans="3:4" x14ac:dyDescent="0.3">
      <c r="C22" s="4" t="s">
        <v>169</v>
      </c>
      <c r="D22" s="1">
        <v>6000</v>
      </c>
    </row>
    <row r="23" spans="3:4" x14ac:dyDescent="0.3">
      <c r="C23" s="4" t="s">
        <v>170</v>
      </c>
      <c r="D23" s="1">
        <v>480</v>
      </c>
    </row>
    <row r="24" spans="3:4" x14ac:dyDescent="0.3">
      <c r="C24" s="4" t="s">
        <v>171</v>
      </c>
      <c r="D24" s="1">
        <v>18000</v>
      </c>
    </row>
    <row r="25" spans="3:4" x14ac:dyDescent="0.3">
      <c r="C25" s="4" t="s">
        <v>172</v>
      </c>
      <c r="D25" s="1">
        <v>2340</v>
      </c>
    </row>
    <row r="26" spans="3:4" x14ac:dyDescent="0.3">
      <c r="C26" s="4" t="s">
        <v>173</v>
      </c>
      <c r="D26" s="1">
        <v>8100</v>
      </c>
    </row>
    <row r="27" spans="3:4" x14ac:dyDescent="0.3">
      <c r="C27" s="4" t="s">
        <v>23</v>
      </c>
      <c r="D27" s="1">
        <v>85500</v>
      </c>
    </row>
    <row r="28" spans="3:4" x14ac:dyDescent="0.3">
      <c r="C28" s="4" t="s">
        <v>21</v>
      </c>
      <c r="D28" s="1">
        <v>60</v>
      </c>
    </row>
    <row r="29" spans="3:4" x14ac:dyDescent="0.3">
      <c r="C29" s="4" t="s">
        <v>26</v>
      </c>
      <c r="D29" s="1">
        <v>200</v>
      </c>
    </row>
    <row r="30" spans="3:4" x14ac:dyDescent="0.3">
      <c r="C30" s="4" t="s">
        <v>61</v>
      </c>
      <c r="D30" s="1">
        <v>1000</v>
      </c>
    </row>
    <row r="31" spans="3:4" x14ac:dyDescent="0.3">
      <c r="C31" s="4" t="s">
        <v>32</v>
      </c>
      <c r="D31" s="1">
        <v>40</v>
      </c>
    </row>
    <row r="32" spans="3:4" x14ac:dyDescent="0.3">
      <c r="C32" s="4" t="s">
        <v>128</v>
      </c>
      <c r="D32" s="1">
        <v>1045</v>
      </c>
    </row>
    <row r="33" spans="3:5" x14ac:dyDescent="0.3">
      <c r="C33" s="4" t="s">
        <v>24</v>
      </c>
      <c r="D33" s="1">
        <v>300</v>
      </c>
    </row>
    <row r="34" spans="3:5" x14ac:dyDescent="0.3">
      <c r="C34" s="4" t="s">
        <v>174</v>
      </c>
      <c r="D34" s="1">
        <v>10000</v>
      </c>
    </row>
    <row r="35" spans="3:5" x14ac:dyDescent="0.3">
      <c r="C35" s="4" t="s">
        <v>33</v>
      </c>
      <c r="D35" s="1">
        <v>4450</v>
      </c>
    </row>
    <row r="36" spans="3:5" x14ac:dyDescent="0.3">
      <c r="C36" s="4" t="s">
        <v>52</v>
      </c>
      <c r="D36" s="1">
        <v>1045</v>
      </c>
    </row>
    <row r="37" spans="3:5" x14ac:dyDescent="0.3">
      <c r="C37" s="4" t="s">
        <v>175</v>
      </c>
      <c r="D37" s="1">
        <v>1500</v>
      </c>
    </row>
    <row r="38" spans="3:5" x14ac:dyDescent="0.3">
      <c r="C38" s="4" t="s">
        <v>176</v>
      </c>
      <c r="D38" s="1">
        <v>70000</v>
      </c>
    </row>
    <row r="39" spans="3:5" x14ac:dyDescent="0.3">
      <c r="C39" s="4" t="s">
        <v>177</v>
      </c>
      <c r="D39" s="1">
        <v>19800</v>
      </c>
    </row>
    <row r="43" spans="3:5" x14ac:dyDescent="0.3">
      <c r="D43" s="20">
        <f>SUM(D2:D39)</f>
        <v>316275</v>
      </c>
      <c r="E43" t="s">
        <v>188</v>
      </c>
    </row>
    <row r="44" spans="3:5" x14ac:dyDescent="0.3">
      <c r="D44" s="1">
        <v>125000</v>
      </c>
      <c r="E44" t="s">
        <v>8</v>
      </c>
    </row>
    <row r="45" spans="3:5" x14ac:dyDescent="0.3">
      <c r="D45" s="1">
        <v>25000</v>
      </c>
      <c r="E45" t="s">
        <v>57</v>
      </c>
    </row>
    <row r="46" spans="3:5" x14ac:dyDescent="0.3">
      <c r="D46" s="1">
        <f>D43-D44-D45</f>
        <v>166275</v>
      </c>
      <c r="E46" t="s">
        <v>0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75866E-38E9-4182-899A-81407BA62170}">
  <dimension ref="B1:L70"/>
  <sheetViews>
    <sheetView workbookViewId="0">
      <selection activeCell="G8" sqref="G8"/>
    </sheetView>
  </sheetViews>
  <sheetFormatPr defaultRowHeight="14.4" x14ac:dyDescent="0.3"/>
  <cols>
    <col min="2" max="2" width="19" hidden="1" customWidth="1"/>
    <col min="3" max="3" width="17.33203125" hidden="1" customWidth="1"/>
    <col min="6" max="6" width="12.88671875" bestFit="1" customWidth="1"/>
    <col min="7" max="7" width="11.6640625" bestFit="1" customWidth="1"/>
    <col min="9" max="9" width="12.88671875" bestFit="1" customWidth="1"/>
    <col min="10" max="10" width="8" bestFit="1" customWidth="1"/>
    <col min="11" max="11" width="20.109375" bestFit="1" customWidth="1"/>
    <col min="12" max="12" width="15.6640625" bestFit="1" customWidth="1"/>
  </cols>
  <sheetData>
    <row r="1" spans="2:12" x14ac:dyDescent="0.3">
      <c r="B1" s="2" t="s">
        <v>2</v>
      </c>
      <c r="C1" s="2" t="s">
        <v>3</v>
      </c>
      <c r="F1" s="2" t="s">
        <v>13</v>
      </c>
      <c r="G1" s="2" t="s">
        <v>6</v>
      </c>
      <c r="I1" s="2" t="s">
        <v>9</v>
      </c>
      <c r="J1" s="2" t="s">
        <v>5</v>
      </c>
      <c r="K1" s="2" t="s">
        <v>10</v>
      </c>
      <c r="L1" s="2" t="s">
        <v>11</v>
      </c>
    </row>
    <row r="2" spans="2:12" x14ac:dyDescent="0.3">
      <c r="B2" s="1">
        <v>25000</v>
      </c>
      <c r="C2" s="3">
        <v>2110</v>
      </c>
      <c r="F2" s="5">
        <v>25000</v>
      </c>
      <c r="G2" s="5" t="s">
        <v>7</v>
      </c>
    </row>
    <row r="3" spans="2:12" x14ac:dyDescent="0.3">
      <c r="B3" s="1">
        <v>125000</v>
      </c>
      <c r="C3" s="3">
        <v>4159</v>
      </c>
      <c r="F3" s="5">
        <v>125000</v>
      </c>
      <c r="G3" s="5" t="s">
        <v>8</v>
      </c>
      <c r="I3" s="5" t="s">
        <v>57</v>
      </c>
      <c r="J3" s="5">
        <v>2110</v>
      </c>
      <c r="K3" s="6">
        <v>12</v>
      </c>
      <c r="L3" s="6">
        <v>5</v>
      </c>
    </row>
    <row r="4" spans="2:12" x14ac:dyDescent="0.3">
      <c r="I4" s="5" t="s">
        <v>12</v>
      </c>
      <c r="J4" s="5">
        <v>4150</v>
      </c>
      <c r="K4" s="6">
        <v>42</v>
      </c>
      <c r="L4" s="6">
        <v>0</v>
      </c>
    </row>
    <row r="6" spans="2:12" x14ac:dyDescent="0.3">
      <c r="F6" s="7">
        <f>SUM(F2:F4)</f>
        <v>150000</v>
      </c>
    </row>
    <row r="8" spans="2:12" x14ac:dyDescent="0.3">
      <c r="B8" s="28" t="s">
        <v>15</v>
      </c>
      <c r="C8" s="28"/>
    </row>
    <row r="9" spans="2:12" x14ac:dyDescent="0.3">
      <c r="B9" s="6" t="s">
        <v>14</v>
      </c>
      <c r="C9" s="6" t="s">
        <v>5</v>
      </c>
    </row>
    <row r="10" spans="2:12" x14ac:dyDescent="0.3">
      <c r="B10" s="4" t="s">
        <v>4</v>
      </c>
      <c r="C10" s="1">
        <v>4300</v>
      </c>
    </row>
    <row r="11" spans="2:12" x14ac:dyDescent="0.3">
      <c r="B11" s="4" t="s">
        <v>16</v>
      </c>
      <c r="C11" s="1">
        <v>550</v>
      </c>
    </row>
    <row r="12" spans="2:12" x14ac:dyDescent="0.3">
      <c r="B12" s="4" t="s">
        <v>16</v>
      </c>
      <c r="C12" s="1">
        <v>218</v>
      </c>
    </row>
    <row r="13" spans="2:12" x14ac:dyDescent="0.3">
      <c r="B13" s="4" t="s">
        <v>17</v>
      </c>
      <c r="C13" s="1">
        <v>2625</v>
      </c>
    </row>
    <row r="14" spans="2:12" x14ac:dyDescent="0.3">
      <c r="B14" t="s">
        <v>18</v>
      </c>
      <c r="C14" s="1">
        <v>1700</v>
      </c>
    </row>
    <row r="15" spans="2:12" x14ac:dyDescent="0.3">
      <c r="B15" s="4" t="s">
        <v>19</v>
      </c>
      <c r="C15" s="1">
        <v>60</v>
      </c>
    </row>
    <row r="16" spans="2:12" x14ac:dyDescent="0.3">
      <c r="B16" s="4" t="s">
        <v>20</v>
      </c>
      <c r="C16" s="1">
        <v>165</v>
      </c>
    </row>
    <row r="17" spans="2:3" x14ac:dyDescent="0.3">
      <c r="B17" s="4" t="s">
        <v>21</v>
      </c>
      <c r="C17" s="1">
        <v>60</v>
      </c>
    </row>
    <row r="18" spans="2:3" x14ac:dyDescent="0.3">
      <c r="B18" s="4" t="s">
        <v>22</v>
      </c>
      <c r="C18" s="1">
        <v>3100</v>
      </c>
    </row>
    <row r="19" spans="2:3" x14ac:dyDescent="0.3">
      <c r="B19" s="4" t="s">
        <v>23</v>
      </c>
      <c r="C19" s="1">
        <v>2400</v>
      </c>
    </row>
    <row r="20" spans="2:3" x14ac:dyDescent="0.3">
      <c r="B20" s="4" t="s">
        <v>24</v>
      </c>
      <c r="C20" s="1">
        <v>300</v>
      </c>
    </row>
    <row r="21" spans="2:3" x14ac:dyDescent="0.3">
      <c r="B21" s="4" t="s">
        <v>25</v>
      </c>
      <c r="C21" s="1">
        <v>330</v>
      </c>
    </row>
    <row r="22" spans="2:3" x14ac:dyDescent="0.3">
      <c r="B22" s="4" t="s">
        <v>16</v>
      </c>
      <c r="C22" s="1">
        <v>500</v>
      </c>
    </row>
    <row r="23" spans="2:3" x14ac:dyDescent="0.3">
      <c r="B23" s="4" t="s">
        <v>26</v>
      </c>
      <c r="C23" s="1">
        <v>200</v>
      </c>
    </row>
    <row r="24" spans="2:3" x14ac:dyDescent="0.3">
      <c r="B24" s="4" t="s">
        <v>27</v>
      </c>
      <c r="C24" s="1">
        <v>2765</v>
      </c>
    </row>
    <row r="25" spans="2:3" x14ac:dyDescent="0.3">
      <c r="B25" s="4" t="s">
        <v>28</v>
      </c>
      <c r="C25" s="1">
        <v>350</v>
      </c>
    </row>
    <row r="26" spans="2:3" x14ac:dyDescent="0.3">
      <c r="B26" s="4" t="s">
        <v>29</v>
      </c>
      <c r="C26" s="1">
        <v>510</v>
      </c>
    </row>
    <row r="27" spans="2:3" x14ac:dyDescent="0.3">
      <c r="B27" t="s">
        <v>30</v>
      </c>
      <c r="C27" s="1">
        <v>1270</v>
      </c>
    </row>
    <row r="28" spans="2:3" x14ac:dyDescent="0.3">
      <c r="B28" s="4" t="s">
        <v>31</v>
      </c>
      <c r="C28" s="1">
        <v>481</v>
      </c>
    </row>
    <row r="29" spans="2:3" x14ac:dyDescent="0.3">
      <c r="B29" s="4" t="s">
        <v>32</v>
      </c>
      <c r="C29" s="1">
        <v>40</v>
      </c>
    </row>
    <row r="30" spans="2:3" x14ac:dyDescent="0.3">
      <c r="B30" s="4" t="s">
        <v>33</v>
      </c>
      <c r="C30" s="1">
        <v>150</v>
      </c>
    </row>
    <row r="31" spans="2:3" x14ac:dyDescent="0.3">
      <c r="B31" s="4" t="s">
        <v>34</v>
      </c>
      <c r="C31" s="1">
        <v>35</v>
      </c>
    </row>
    <row r="32" spans="2:3" x14ac:dyDescent="0.3">
      <c r="B32" s="4" t="s">
        <v>34</v>
      </c>
      <c r="C32" s="1">
        <v>123</v>
      </c>
    </row>
    <row r="33" spans="2:3" x14ac:dyDescent="0.3">
      <c r="B33" s="4" t="s">
        <v>22</v>
      </c>
      <c r="C33" s="1">
        <v>2000</v>
      </c>
    </row>
    <row r="34" spans="2:3" x14ac:dyDescent="0.3">
      <c r="B34" s="4" t="s">
        <v>35</v>
      </c>
      <c r="C34" s="1">
        <v>2000</v>
      </c>
    </row>
    <row r="35" spans="2:3" x14ac:dyDescent="0.3">
      <c r="B35" s="4" t="s">
        <v>36</v>
      </c>
      <c r="C35" s="1">
        <v>620</v>
      </c>
    </row>
    <row r="36" spans="2:3" x14ac:dyDescent="0.3">
      <c r="B36" s="4" t="s">
        <v>37</v>
      </c>
      <c r="C36" s="1">
        <v>90</v>
      </c>
    </row>
    <row r="37" spans="2:3" x14ac:dyDescent="0.3">
      <c r="B37" s="4" t="s">
        <v>38</v>
      </c>
      <c r="C37" s="1">
        <v>155</v>
      </c>
    </row>
    <row r="38" spans="2:3" x14ac:dyDescent="0.3">
      <c r="B38" s="4" t="s">
        <v>39</v>
      </c>
      <c r="C38" s="1">
        <v>280</v>
      </c>
    </row>
    <row r="39" spans="2:3" x14ac:dyDescent="0.3">
      <c r="B39" s="4" t="s">
        <v>40</v>
      </c>
      <c r="C39" s="1">
        <v>40</v>
      </c>
    </row>
    <row r="40" spans="2:3" x14ac:dyDescent="0.3">
      <c r="B40" s="4" t="s">
        <v>41</v>
      </c>
      <c r="C40" s="1">
        <v>25</v>
      </c>
    </row>
    <row r="41" spans="2:3" x14ac:dyDescent="0.3">
      <c r="B41" s="4" t="s">
        <v>42</v>
      </c>
      <c r="C41" s="1">
        <v>2000</v>
      </c>
    </row>
    <row r="42" spans="2:3" x14ac:dyDescent="0.3">
      <c r="B42" s="4" t="s">
        <v>23</v>
      </c>
      <c r="C42" s="1">
        <v>1180</v>
      </c>
    </row>
    <row r="43" spans="2:3" x14ac:dyDescent="0.3">
      <c r="B43" s="4" t="s">
        <v>22</v>
      </c>
      <c r="C43" s="1">
        <v>1500</v>
      </c>
    </row>
    <row r="44" spans="2:3" x14ac:dyDescent="0.3">
      <c r="B44" s="4" t="s">
        <v>43</v>
      </c>
      <c r="C44" s="1">
        <v>800</v>
      </c>
    </row>
    <row r="45" spans="2:3" x14ac:dyDescent="0.3">
      <c r="B45" s="4" t="s">
        <v>44</v>
      </c>
      <c r="C45" s="1">
        <v>200</v>
      </c>
    </row>
    <row r="46" spans="2:3" x14ac:dyDescent="0.3">
      <c r="B46" s="4" t="s">
        <v>45</v>
      </c>
      <c r="C46" s="1">
        <v>200</v>
      </c>
    </row>
    <row r="47" spans="2:3" x14ac:dyDescent="0.3">
      <c r="B47" s="4" t="s">
        <v>46</v>
      </c>
      <c r="C47" s="1">
        <v>700</v>
      </c>
    </row>
    <row r="48" spans="2:3" x14ac:dyDescent="0.3">
      <c r="B48" s="4" t="s">
        <v>47</v>
      </c>
      <c r="C48" s="1">
        <v>40</v>
      </c>
    </row>
    <row r="49" spans="2:3" x14ac:dyDescent="0.3">
      <c r="B49" s="4" t="s">
        <v>48</v>
      </c>
      <c r="C49" s="1">
        <v>145</v>
      </c>
    </row>
    <row r="50" spans="2:3" x14ac:dyDescent="0.3">
      <c r="B50" s="4" t="s">
        <v>49</v>
      </c>
      <c r="C50" s="1">
        <v>55</v>
      </c>
    </row>
    <row r="51" spans="2:3" x14ac:dyDescent="0.3">
      <c r="B51" s="4" t="s">
        <v>50</v>
      </c>
      <c r="C51" s="1">
        <v>79.55</v>
      </c>
    </row>
    <row r="52" spans="2:3" x14ac:dyDescent="0.3">
      <c r="B52" s="4" t="s">
        <v>51</v>
      </c>
      <c r="C52" s="1">
        <v>2575</v>
      </c>
    </row>
    <row r="53" spans="2:3" x14ac:dyDescent="0.3">
      <c r="B53" s="4" t="s">
        <v>46</v>
      </c>
      <c r="C53" s="9">
        <v>150</v>
      </c>
    </row>
    <row r="54" spans="2:3" x14ac:dyDescent="0.3">
      <c r="B54" s="4" t="s">
        <v>33</v>
      </c>
      <c r="C54" s="9">
        <v>1300</v>
      </c>
    </row>
    <row r="55" spans="2:3" x14ac:dyDescent="0.3">
      <c r="B55" s="4" t="s">
        <v>52</v>
      </c>
      <c r="C55" s="9">
        <v>115</v>
      </c>
    </row>
    <row r="56" spans="2:3" x14ac:dyDescent="0.3">
      <c r="B56" s="4" t="s">
        <v>53</v>
      </c>
      <c r="C56" s="9">
        <v>8700</v>
      </c>
    </row>
    <row r="57" spans="2:3" x14ac:dyDescent="0.3">
      <c r="B57" s="4" t="s">
        <v>54</v>
      </c>
      <c r="C57" s="9">
        <v>40</v>
      </c>
    </row>
    <row r="58" spans="2:3" x14ac:dyDescent="0.3">
      <c r="B58" s="4" t="s">
        <v>55</v>
      </c>
      <c r="C58" s="9">
        <v>111</v>
      </c>
    </row>
    <row r="59" spans="2:3" x14ac:dyDescent="0.3">
      <c r="B59" s="4" t="s">
        <v>51</v>
      </c>
      <c r="C59" s="9">
        <v>30</v>
      </c>
    </row>
    <row r="60" spans="2:3" x14ac:dyDescent="0.3">
      <c r="B60" s="4" t="s">
        <v>35</v>
      </c>
      <c r="C60" s="9">
        <v>1148.5</v>
      </c>
    </row>
    <row r="61" spans="2:3" x14ac:dyDescent="0.3">
      <c r="B61" s="4" t="s">
        <v>56</v>
      </c>
      <c r="C61" s="9">
        <v>54</v>
      </c>
    </row>
    <row r="62" spans="2:3" x14ac:dyDescent="0.3">
      <c r="B62" s="4" t="s">
        <v>57</v>
      </c>
      <c r="C62" s="9">
        <v>55</v>
      </c>
    </row>
    <row r="63" spans="2:3" x14ac:dyDescent="0.3">
      <c r="B63" s="4" t="s">
        <v>58</v>
      </c>
      <c r="C63" s="9">
        <v>165</v>
      </c>
    </row>
    <row r="64" spans="2:3" x14ac:dyDescent="0.3">
      <c r="B64" s="4" t="s">
        <v>43</v>
      </c>
      <c r="C64" s="9">
        <v>300</v>
      </c>
    </row>
    <row r="65" spans="2:3" x14ac:dyDescent="0.3">
      <c r="B65" s="4" t="s">
        <v>59</v>
      </c>
      <c r="C65" s="9">
        <v>100</v>
      </c>
    </row>
    <row r="66" spans="2:3" x14ac:dyDescent="0.3">
      <c r="B66" s="4" t="s">
        <v>1</v>
      </c>
      <c r="C66" s="9">
        <v>1000</v>
      </c>
    </row>
    <row r="67" spans="2:3" x14ac:dyDescent="0.3">
      <c r="B67" s="4" t="s">
        <v>60</v>
      </c>
      <c r="C67" s="9">
        <v>15</v>
      </c>
    </row>
    <row r="68" spans="2:3" x14ac:dyDescent="0.3">
      <c r="B68" s="4" t="s">
        <v>61</v>
      </c>
      <c r="C68" s="9">
        <v>1000</v>
      </c>
    </row>
    <row r="69" spans="2:3" x14ac:dyDescent="0.3">
      <c r="B69" s="4" t="s">
        <v>58</v>
      </c>
      <c r="C69" s="9">
        <v>50</v>
      </c>
    </row>
    <row r="70" spans="2:3" x14ac:dyDescent="0.3">
      <c r="C70" s="10">
        <f>SUM(C10:C69)</f>
        <v>51250.05</v>
      </c>
    </row>
  </sheetData>
  <mergeCells count="1">
    <mergeCell ref="B8:C8"/>
  </mergeCells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9ED693-664F-48D2-B749-0DB9C459AFFF}">
  <dimension ref="C1:J13"/>
  <sheetViews>
    <sheetView workbookViewId="0">
      <selection activeCell="I21" sqref="I21"/>
    </sheetView>
  </sheetViews>
  <sheetFormatPr defaultRowHeight="14.4" x14ac:dyDescent="0.3"/>
  <cols>
    <col min="3" max="3" width="10.77734375" bestFit="1" customWidth="1"/>
    <col min="4" max="6" width="14" bestFit="1" customWidth="1"/>
  </cols>
  <sheetData>
    <row r="1" spans="3:10" x14ac:dyDescent="0.3">
      <c r="C1" s="22" t="s">
        <v>497</v>
      </c>
      <c r="D1" s="22" t="s">
        <v>64</v>
      </c>
      <c r="E1" s="22" t="s">
        <v>15</v>
      </c>
      <c r="F1" s="22" t="s">
        <v>496</v>
      </c>
    </row>
    <row r="2" spans="3:10" x14ac:dyDescent="0.3">
      <c r="C2" s="6" t="s">
        <v>498</v>
      </c>
      <c r="D2" s="24">
        <v>8208.4500000000007</v>
      </c>
      <c r="E2" s="24">
        <v>7591.31</v>
      </c>
      <c r="F2" s="25">
        <f>D2-E2</f>
        <v>617.14000000000033</v>
      </c>
    </row>
    <row r="3" spans="3:10" x14ac:dyDescent="0.3">
      <c r="C3" s="6" t="s">
        <v>499</v>
      </c>
      <c r="D3" s="24">
        <v>33677.03</v>
      </c>
      <c r="E3" s="24">
        <v>49150.42</v>
      </c>
      <c r="F3" s="26">
        <f>D3-E3</f>
        <v>-15473.39</v>
      </c>
    </row>
    <row r="4" spans="3:10" x14ac:dyDescent="0.3">
      <c r="C4" s="6" t="s">
        <v>222</v>
      </c>
      <c r="D4" s="24">
        <v>75296.19</v>
      </c>
      <c r="E4" s="24">
        <v>75265.19</v>
      </c>
      <c r="F4" s="25">
        <f t="shared" ref="F4:F10" si="0">D4-E4</f>
        <v>31</v>
      </c>
    </row>
    <row r="5" spans="3:10" x14ac:dyDescent="0.3">
      <c r="C5" s="6" t="s">
        <v>242</v>
      </c>
      <c r="D5" s="24">
        <v>82584.69</v>
      </c>
      <c r="E5" s="24">
        <v>96690.28</v>
      </c>
      <c r="F5" s="26">
        <f t="shared" si="0"/>
        <v>-14105.589999999997</v>
      </c>
    </row>
    <row r="6" spans="3:10" x14ac:dyDescent="0.3">
      <c r="C6" s="6" t="s">
        <v>283</v>
      </c>
      <c r="D6" s="24">
        <v>98441.49</v>
      </c>
      <c r="E6" s="24">
        <v>133965.09</v>
      </c>
      <c r="F6" s="26">
        <f t="shared" si="0"/>
        <v>-35523.599999999991</v>
      </c>
    </row>
    <row r="7" spans="3:10" x14ac:dyDescent="0.3">
      <c r="C7" s="6" t="s">
        <v>331</v>
      </c>
      <c r="D7" s="24">
        <v>91398.02</v>
      </c>
      <c r="E7" s="24">
        <v>129524.07</v>
      </c>
      <c r="F7" s="26">
        <f t="shared" si="0"/>
        <v>-38126.050000000003</v>
      </c>
    </row>
    <row r="8" spans="3:10" x14ac:dyDescent="0.3">
      <c r="C8" s="6" t="s">
        <v>379</v>
      </c>
      <c r="D8" s="24">
        <v>111957.9</v>
      </c>
      <c r="E8" s="24">
        <v>128244.51</v>
      </c>
      <c r="F8" s="26">
        <f t="shared" si="0"/>
        <v>-16286.61</v>
      </c>
    </row>
    <row r="9" spans="3:10" x14ac:dyDescent="0.3">
      <c r="C9" s="6" t="s">
        <v>426</v>
      </c>
      <c r="D9" s="24">
        <v>119189</v>
      </c>
      <c r="E9" s="24">
        <v>137193.01</v>
      </c>
      <c r="F9" s="26">
        <f t="shared" si="0"/>
        <v>-18004.010000000009</v>
      </c>
    </row>
    <row r="10" spans="3:10" x14ac:dyDescent="0.3">
      <c r="C10" s="6" t="s">
        <v>467</v>
      </c>
      <c r="D10" s="24">
        <v>103808.5</v>
      </c>
      <c r="E10" s="24">
        <v>128705.03</v>
      </c>
      <c r="F10" s="26">
        <f t="shared" si="0"/>
        <v>-24896.53</v>
      </c>
    </row>
    <row r="11" spans="3:10" x14ac:dyDescent="0.3">
      <c r="D11" s="1"/>
      <c r="E11" s="1"/>
    </row>
    <row r="12" spans="3:10" x14ac:dyDescent="0.3">
      <c r="D12" s="1"/>
      <c r="E12" s="1"/>
      <c r="F12" s="22" t="s">
        <v>496</v>
      </c>
      <c r="J12" t="s">
        <v>500</v>
      </c>
    </row>
    <row r="13" spans="3:10" x14ac:dyDescent="0.3">
      <c r="F13" s="23">
        <f>SUM(F2:F10)</f>
        <v>-161767.63999999998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Gerencial</vt:lpstr>
      <vt:lpstr>BASE DE DADOS</vt:lpstr>
      <vt:lpstr>INVESTIMENTO INICIAL</vt:lpstr>
      <vt:lpstr>EMPRESTIMOS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Caio Oliveira</dc:creator>
  <cp:lastModifiedBy>Caio Oliveira</cp:lastModifiedBy>
  <dcterms:created xsi:type="dcterms:W3CDTF">2024-09-30T12:03:30Z</dcterms:created>
  <dcterms:modified xsi:type="dcterms:W3CDTF">2026-01-16T03:48:54Z</dcterms:modified>
</cp:coreProperties>
</file>